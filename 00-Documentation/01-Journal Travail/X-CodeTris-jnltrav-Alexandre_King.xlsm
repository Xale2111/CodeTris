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A08A6D4E-DE33-483A-A788-DF9D6D0E1683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Journal!$A$1:$F$341</definedName>
    <definedName name="_xlnm.Print_Area" localSheetId="2">Planning!$A$1:$F$339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12" i="10"/>
  <c r="C11" i="10"/>
  <c r="C10" i="10"/>
  <c r="C9" i="10"/>
  <c r="C8" i="10"/>
  <c r="C7" i="10"/>
  <c r="C321" i="12"/>
  <c r="C322" i="12"/>
  <c r="C323" i="12"/>
  <c r="C324" i="12"/>
  <c r="C325" i="12"/>
  <c r="C103" i="10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B108" i="12"/>
  <c r="C107" i="12"/>
  <c r="C106" i="12"/>
  <c r="C105" i="12"/>
  <c r="C104" i="12"/>
  <c r="C103" i="12"/>
  <c r="C102" i="12"/>
  <c r="C101" i="12"/>
  <c r="B120" i="12"/>
  <c r="C119" i="12"/>
  <c r="C177" i="10"/>
  <c r="C178" i="10"/>
  <c r="C198" i="10"/>
  <c r="C223" i="10"/>
  <c r="C224" i="10"/>
  <c r="C225" i="10"/>
  <c r="C226" i="10"/>
  <c r="C227" i="10"/>
  <c r="C245" i="10"/>
  <c r="C246" i="10"/>
  <c r="C247" i="10"/>
  <c r="C248" i="10"/>
  <c r="C249" i="10"/>
  <c r="C250" i="10"/>
  <c r="C251" i="10"/>
  <c r="C270" i="10"/>
  <c r="C271" i="10"/>
  <c r="C272" i="10"/>
  <c r="C273" i="10"/>
  <c r="C274" i="10"/>
  <c r="C275" i="10"/>
  <c r="C305" i="10"/>
  <c r="C306" i="10"/>
  <c r="C307" i="10"/>
  <c r="C308" i="10"/>
  <c r="C309" i="10"/>
  <c r="C310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B120" i="10"/>
  <c r="C119" i="10"/>
  <c r="C118" i="10"/>
  <c r="C117" i="10"/>
  <c r="C116" i="10"/>
  <c r="C115" i="10"/>
  <c r="C114" i="10"/>
  <c r="C163" i="10"/>
  <c r="C212" i="10"/>
  <c r="C213" i="10"/>
  <c r="C236" i="10"/>
  <c r="C237" i="10"/>
  <c r="C260" i="10"/>
  <c r="C261" i="10"/>
  <c r="C284" i="10"/>
  <c r="C285" i="10"/>
  <c r="C295" i="10"/>
  <c r="C296" i="10"/>
  <c r="C297" i="10"/>
  <c r="C320" i="10"/>
  <c r="C321" i="10"/>
  <c r="C322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32" i="12"/>
  <c r="C131" i="12"/>
  <c r="B144" i="12"/>
  <c r="C143" i="12"/>
  <c r="C142" i="12"/>
  <c r="C141" i="12"/>
  <c r="C140" i="12"/>
  <c r="C139" i="12"/>
  <c r="B156" i="12"/>
  <c r="C155" i="12"/>
  <c r="B168" i="12"/>
  <c r="C167" i="12"/>
  <c r="C166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B204" i="12"/>
  <c r="C203" i="12"/>
  <c r="C202" i="12"/>
  <c r="C201" i="12"/>
  <c r="B216" i="12"/>
  <c r="C215" i="12"/>
  <c r="C214" i="12"/>
  <c r="C213" i="12"/>
  <c r="C212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3" i="12"/>
  <c r="C262" i="12"/>
  <c r="B276" i="12"/>
  <c r="C275" i="12"/>
  <c r="C274" i="12"/>
  <c r="C273" i="12"/>
  <c r="C272" i="12"/>
  <c r="C271" i="12"/>
  <c r="B288" i="12"/>
  <c r="C287" i="12"/>
  <c r="B300" i="12"/>
  <c r="C299" i="12"/>
  <c r="C298" i="12"/>
  <c r="B312" i="12"/>
  <c r="C311" i="12"/>
  <c r="C310" i="12"/>
  <c r="C309" i="12"/>
  <c r="C308" i="12"/>
  <c r="C307" i="12"/>
  <c r="C306" i="12"/>
  <c r="C305" i="12"/>
  <c r="B326" i="12"/>
  <c r="B340" i="12"/>
  <c r="B132" i="10"/>
  <c r="C131" i="10"/>
  <c r="C130" i="10"/>
  <c r="B144" i="10"/>
  <c r="C143" i="10"/>
  <c r="C142" i="10"/>
  <c r="B156" i="10"/>
  <c r="C155" i="10"/>
  <c r="C154" i="10"/>
  <c r="B168" i="10"/>
  <c r="C167" i="10"/>
  <c r="B180" i="10"/>
  <c r="C179" i="10"/>
  <c r="B192" i="10"/>
  <c r="C191" i="10"/>
  <c r="B204" i="10"/>
  <c r="C203" i="10"/>
  <c r="C202" i="10"/>
  <c r="B216" i="10"/>
  <c r="C215" i="10"/>
  <c r="C214" i="10"/>
  <c r="B228" i="10"/>
  <c r="B240" i="10"/>
  <c r="C239" i="10"/>
  <c r="C238" i="10"/>
  <c r="B252" i="10"/>
  <c r="B264" i="10"/>
  <c r="C263" i="10"/>
  <c r="C262" i="10"/>
  <c r="B37" i="1"/>
  <c r="B276" i="10"/>
  <c r="B288" i="10"/>
  <c r="C287" i="10"/>
  <c r="C286" i="10"/>
  <c r="B300" i="10"/>
  <c r="C299" i="10"/>
  <c r="C298" i="10"/>
  <c r="B312" i="10"/>
  <c r="C311" i="10"/>
  <c r="B324" i="10"/>
  <c r="B338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23" i="10"/>
  <c r="C337" i="10"/>
  <c r="C211" i="10"/>
  <c r="C222" i="10"/>
  <c r="C339" i="12"/>
  <c r="C11" i="15"/>
  <c r="C11" i="16"/>
  <c r="C12" i="10"/>
  <c r="C28" i="10"/>
  <c r="C84" i="10"/>
  <c r="C64" i="10"/>
  <c r="C332" i="10"/>
  <c r="C204" i="10"/>
  <c r="C338" i="10"/>
  <c r="C192" i="10"/>
  <c r="C173" i="10"/>
  <c r="C126" i="10"/>
  <c r="C264" i="10"/>
  <c r="C304" i="10"/>
  <c r="C329" i="10"/>
  <c r="C283" i="10"/>
  <c r="C319" i="10"/>
  <c r="C89" i="10"/>
  <c r="C100" i="10"/>
  <c r="C282" i="10"/>
  <c r="C187" i="10"/>
  <c r="C318" i="10"/>
  <c r="C209" i="10"/>
  <c r="C312" i="10"/>
  <c r="C234" i="10"/>
  <c r="C77" i="10"/>
  <c r="C120" i="10"/>
  <c r="C24" i="10"/>
  <c r="C292" i="10"/>
  <c r="C17" i="10"/>
  <c r="C132" i="10"/>
  <c r="C257" i="10"/>
  <c r="C208" i="10"/>
  <c r="C216" i="10"/>
  <c r="C281" i="10"/>
  <c r="C88" i="10"/>
  <c r="C316" i="10"/>
  <c r="C172" i="10"/>
  <c r="C112" i="10"/>
  <c r="C29" i="10"/>
  <c r="C161" i="10"/>
  <c r="C293" i="10"/>
  <c r="C52" i="10"/>
  <c r="C36" i="10"/>
  <c r="C330" i="10"/>
  <c r="C233" i="10"/>
  <c r="C16" i="10"/>
  <c r="C259" i="10"/>
  <c r="C124" i="10"/>
  <c r="C43" i="10"/>
  <c r="C232" i="10"/>
  <c r="C220" i="10"/>
  <c r="C324" i="10"/>
  <c r="C300" i="10"/>
  <c r="C184" i="10"/>
  <c r="C156" i="10"/>
  <c r="C137" i="10"/>
  <c r="C136" i="10"/>
  <c r="C185" i="10"/>
  <c r="C66" i="10"/>
  <c r="C144" i="10"/>
  <c r="C148" i="10"/>
  <c r="C102" i="10"/>
  <c r="C60" i="10"/>
  <c r="C76" i="10"/>
  <c r="C168" i="10"/>
  <c r="C252" i="10"/>
  <c r="C162" i="10"/>
  <c r="C150" i="10"/>
  <c r="C42" i="10"/>
  <c r="C221" i="10"/>
  <c r="C151" i="10"/>
  <c r="C160" i="10"/>
  <c r="C125" i="10"/>
  <c r="C101" i="10"/>
  <c r="C18" i="10"/>
  <c r="C108" i="10"/>
  <c r="C72" i="10"/>
  <c r="C317" i="10"/>
  <c r="C41" i="10"/>
  <c r="C276" i="10"/>
  <c r="C196" i="10"/>
  <c r="C288" i="10"/>
  <c r="C197" i="10"/>
  <c r="C210" i="10"/>
  <c r="C256" i="10"/>
  <c r="C269" i="10"/>
  <c r="C65" i="10"/>
  <c r="C48" i="10"/>
  <c r="C333" i="10"/>
  <c r="C268" i="10"/>
  <c r="C258" i="10"/>
  <c r="C331" i="10"/>
  <c r="C235" i="10"/>
  <c r="C96" i="10"/>
  <c r="C240" i="10"/>
  <c r="C186" i="10"/>
  <c r="C138" i="10"/>
  <c r="C149" i="10"/>
  <c r="C244" i="10"/>
  <c r="C294" i="10"/>
  <c r="C228" i="10"/>
  <c r="C280" i="10"/>
  <c r="C180" i="10"/>
  <c r="C40" i="10"/>
  <c r="C130" i="12"/>
  <c r="C127" i="12"/>
  <c r="C129" i="12"/>
  <c r="C296" i="12"/>
  <c r="C326" i="12"/>
  <c r="C222" i="12"/>
  <c r="C294" i="12"/>
  <c r="C164" i="12"/>
  <c r="C257" i="12"/>
  <c r="C240" i="12"/>
  <c r="C244" i="12"/>
  <c r="C335" i="12"/>
  <c r="C198" i="12"/>
  <c r="C161" i="12"/>
  <c r="C264" i="12"/>
  <c r="C168" i="12"/>
  <c r="C24" i="12"/>
  <c r="C149" i="12"/>
  <c r="C300" i="12"/>
  <c r="C234" i="12"/>
  <c r="C258" i="12"/>
  <c r="C285" i="12"/>
  <c r="C197" i="12"/>
  <c r="C163" i="12"/>
  <c r="C154" i="12"/>
  <c r="C210" i="12"/>
  <c r="C162" i="12"/>
  <c r="C259" i="12"/>
  <c r="C340" i="12"/>
  <c r="C174" i="12"/>
  <c r="C153" i="12"/>
  <c r="C284" i="12"/>
  <c r="C330" i="12"/>
  <c r="C150" i="12"/>
  <c r="C196" i="12"/>
  <c r="C245" i="12"/>
  <c r="C268" i="12"/>
  <c r="C333" i="12"/>
  <c r="C232" i="12"/>
  <c r="C220" i="12"/>
  <c r="C173" i="12"/>
  <c r="C156" i="12"/>
  <c r="C295" i="12"/>
  <c r="C200" i="12"/>
  <c r="C260" i="12"/>
  <c r="C192" i="12"/>
  <c r="C332" i="12"/>
  <c r="C318" i="12"/>
  <c r="C84" i="12"/>
  <c r="C256" i="12"/>
  <c r="C270" i="12"/>
  <c r="C336" i="12"/>
  <c r="C172" i="12"/>
  <c r="C148" i="12"/>
  <c r="C208" i="12"/>
  <c r="C288" i="12"/>
  <c r="C211" i="12"/>
  <c r="C281" i="12"/>
  <c r="C283" i="12"/>
  <c r="C160" i="12"/>
  <c r="C317" i="12"/>
  <c r="C297" i="12"/>
  <c r="C320" i="12"/>
  <c r="C184" i="12"/>
  <c r="C261" i="12"/>
  <c r="C180" i="12"/>
  <c r="C186" i="12"/>
  <c r="C292" i="12"/>
  <c r="C293" i="12"/>
  <c r="C221" i="12"/>
  <c r="C304" i="12"/>
  <c r="C185" i="12"/>
  <c r="C276" i="12"/>
  <c r="C12" i="12"/>
  <c r="C36" i="12"/>
  <c r="C199" i="12"/>
  <c r="C286" i="12"/>
  <c r="C269" i="12"/>
  <c r="C316" i="12"/>
  <c r="C233" i="12"/>
  <c r="C48" i="12"/>
  <c r="C312" i="12"/>
  <c r="C72" i="12"/>
  <c r="C319" i="12"/>
  <c r="C280" i="12"/>
  <c r="C252" i="12"/>
  <c r="C204" i="12"/>
  <c r="C60" i="12"/>
  <c r="C216" i="12"/>
  <c r="C331" i="12"/>
  <c r="C282" i="12"/>
  <c r="C165" i="12"/>
  <c r="C228" i="12"/>
  <c r="C152" i="12"/>
  <c r="C334" i="12"/>
  <c r="C151" i="12"/>
  <c r="C209" i="12"/>
  <c r="C128" i="12"/>
  <c r="C126" i="12"/>
  <c r="C125" i="12"/>
  <c r="C138" i="12"/>
  <c r="C137" i="12"/>
  <c r="C136" i="12"/>
  <c r="C144" i="12"/>
  <c r="C132" i="12"/>
  <c r="C124" i="12"/>
  <c r="C117" i="12"/>
  <c r="C115" i="12"/>
  <c r="C114" i="12"/>
  <c r="C113" i="12"/>
  <c r="C112" i="12"/>
  <c r="C118" i="12"/>
  <c r="C116" i="12"/>
  <c r="C120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08" i="12"/>
  <c r="C100" i="12"/>
  <c r="C89" i="12"/>
  <c r="C88" i="12"/>
  <c r="C96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<sst xmlns="http://schemas.openxmlformats.org/spreadsheetml/2006/main" count="1355" uniqueCount="285">
  <si>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</si>
  <si>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</si>
  <si>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</si>
  <si>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</si>
  <si>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</si>
  <si>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</si>
  <si>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</si>
  <si>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</si>
  <si>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</si>
  <si>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</si>
  <si>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</si>
  <si>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</si>
  <si>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</si>
  <si>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</si>
  <si>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</si>
  <si>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</si>
  <si>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</si>
  <si>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</si>
  <si>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</si>
  <si>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</si>
  <si>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</si>
  <si>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</si>
  <si>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</si>
  <si>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</si>
  <si>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</si>
  <si>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</si>
  <si>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</si>
  <si>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</si>
  <si>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</si>
  <si>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</si>
  <si>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</si>
  <si>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</si>
  <si>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</si>
  <si>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</si>
  <si>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</si>
  <si>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</si>
  <si>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</si>
  <si>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</si>
  <si>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</si>
  <si>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</si>
  <si>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</si>
  <si>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</si>
  <si>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</si>
  <si>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</si>
  <si>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</si>
  <si>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</si>
  <si>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</si>
  <si>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</si>
  <si>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</si>
  <si>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</si>
  <si>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</si>
  <si>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</si>
  <si>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</si>
  <si>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</si>
  <si>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</si>
  <si>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</si>
  <si>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</si>
  <si>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</si>
  <si>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</si>
  <si>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</si>
  <si>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</si>
  <si>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</si>
  <si>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</si>
  <si>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</si>
  <si>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</si>
  <si>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</si>
  <si>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</si>
  <si>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</si>
  <si>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</si>
  <si>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</si>
  <si>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</si>
  <si>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</si>
  <si>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</si>
  <si>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</si>
  <si>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</si>
  <si>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</si>
  <si>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</si>
  <si>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</si>
  <si>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</si>
  <si>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</si>
  <si>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</si>
  <si>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</si>
  <si>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</si>
  <si>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</si>
  <si>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</si>
  <si>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</si>
  <si>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</si>
  <si>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</si>
  <si>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</si>
  <si>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</si>
  <si>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</si>
  <si>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</si>
  <si>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</si>
  <si>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</si>
  <si>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</si>
  <si>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</si>
  <si>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</si>
  <si>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</si>
  <si>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</si>
  <si>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</si>
  <si>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</si>
  <si>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</si>
  <si>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</si>
  <si>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</si>
  <si>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</si>
  <si>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</si>
  <si>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</si>
  <si>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</si>
  <si>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</si>
  <si>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</si>
  <si>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</si>
  <si>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</si>
  <si>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</si>
  <si>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</si>
  <si>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</si>
  <si>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</si>
  <si>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</si>
  <si>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</si>
  <si>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</si>
  <si>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</si>
  <si>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</si>
  <si>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</si>
  <si>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</si>
  <si>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</si>
  <si>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</si>
  <si>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</si>
  <si>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</si>
  <si>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</si>
  <si>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</si>
  <si>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</si>
  <si>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</si>
  <si>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</si>
  <si>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lundi, 27 mai 2024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</si>
  <si>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</si>
  <si>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</si>
  <si>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</si>
  <si>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</si>
  <si>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</si>
  <si>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</si>
  <si>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</si>
  <si>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</si>
  <si>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</si>
  <si>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</si>
  <si>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</si>
  <si>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</si>
  <si>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</si>
  <si>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</si>
  <si>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</si>
  <si>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</si>
  <si>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</si>
  <si>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</si>
  <si>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</si>
  <si>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</si>
  <si>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</si>
  <si>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</si>
  <si>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</si>
  <si>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</si>
  <si>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</si>
  <si>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</si>
  <si>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</si>
  <si>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</si>
  <si>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</si>
  <si>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</si>
  <si>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</si>
  <si>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</si>
  <si>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</si>
  <si>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</si>
  <si>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</si>
  <si>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</si>
  <si>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</si>
  <si>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</si>
  <si>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</si>
  <si>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</si>
  <si>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</si>
  <si>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</si>
  <si>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</si>
  <si>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</si>
  <si>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</si>
  <si>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</si>
  <si>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</si>
  <si>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</si>
  <si>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</si>
  <si>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</si>
  <si>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</si>
  <si>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</si>
  <si>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</si>
  <si>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</si>
  <si>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</si>
  <si>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</si>
  <si>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</si>
  <si>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</si>
  <si>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</si>
  <si>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</si>
  <si>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</si>
  <si>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</si>
  <si>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</si>
  <si>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</si>
  <si>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</si>
  <si>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</si>
  <si>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</si>
  <si>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</si>
  <si>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</si>
  <si>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</si>
  <si>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</si>
  <si>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</si>
  <si>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</si>
  <si>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</si>
  <si>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</si>
  <si>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</si>
  <si>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</si>
  <si>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</si>
  <si>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</si>
  <si>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</si>
  <si>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</si>
  <si>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</si>
  <si>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</si>
  <si>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</si>
  <si>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</si>
  <si>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</si>
  <si>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</si>
  <si>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</si>
  <si>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</si>
  <si>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</si>
  <si>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</si>
  <si>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</si>
  <si>
    <t>Gestion de la destruction des lignes</t>
  </si>
  <si>
    <t>Correction de la destruction des lignes</t>
  </si>
  <si>
    <t>fin de la correction de la suppresion des lignes (OK)</t>
  </si>
  <si>
    <t>Gestion de l'affichage des questions depuis la DB</t>
  </si>
  <si>
    <t>MAJ du journal</t>
  </si>
  <si>
    <t>Léger retard sur le planning mais le projet avance bien</t>
  </si>
  <si>
    <t>Bon avancement sur le rapport, première mise au propre</t>
  </si>
  <si>
    <t>Légère avance, bonne colision des pièces même si il reste quelques bugs</t>
  </si>
  <si>
    <t>Légère avance, plus grand-chose à faire pour la collisions. Réécriture de code permettant un bon déroulement des déplacements</t>
  </si>
  <si>
    <t>J'ai bien travaillé, le planning est respecté</t>
  </si>
  <si>
    <t>J'ai réussi à rattraper un peu le retard du matin. Travail efficace</t>
  </si>
  <si>
    <t>En avance, retard de mercredi complètement rattraper + ajout d'une fonctionnalité en plus non demandée</t>
  </si>
  <si>
    <t>Un peu d'avance malgré certains  bugs encore présents</t>
  </si>
  <si>
    <t>0h10min</t>
  </si>
  <si>
    <t>1h10min</t>
  </si>
  <si>
    <t>Mise au propre</t>
  </si>
  <si>
    <t>jeudi, 30 mai 2024</t>
  </si>
  <si>
    <t>Mise à jour du planning (ajout de la séquence 28 dû à une absence dans le projet) + modifications des la page bilan (mise au propre, il y avait des bugs avec cette page)</t>
  </si>
  <si>
    <t>Correction du bug où les pièces passent à travers la zone de jeu</t>
  </si>
  <si>
    <t>Correction d'un bug (aucune idée de ce qui créait le bug mais il s'est résolu tout seul)</t>
  </si>
  <si>
    <t>Fin de la gestion des pièces (blocage des lignes et suppression selon la réponse</t>
  </si>
  <si>
    <t>Ajout d'une amélioration (prévisulation de la prochaine pièce)</t>
  </si>
  <si>
    <t>Envoi du journal aux experts</t>
  </si>
  <si>
    <t>Ajout de note dans le rapport</t>
  </si>
  <si>
    <t>un peu de retard sur le planning mais des bugs ont été corrigés et le jeu amélioré. Il ne reste plus qu'à faire le game over</t>
  </si>
  <si>
    <t>Affichage des questions en fonction de leur tailles + vérification et suppression des lignes</t>
  </si>
  <si>
    <t>Utilisation de code Stackoverflow pour laisser une marge d'erreur au joueur lors de sa réponse : https://stackoverflow.com/questions/2344320/comparing-strings-with-tolerance</t>
  </si>
  <si>
    <t>92h20min</t>
  </si>
  <si>
    <t>Ajout de la touche Espace pour faire descendre la pièce directement</t>
  </si>
  <si>
    <t>Affichage de la question en rouge si la réponse et mauvaise et verte si elle bonne + Gestion du score</t>
  </si>
  <si>
    <t xml:space="preserve">Ajout d'une musique de suspense lors des questions </t>
  </si>
  <si>
    <t>Lien youtube pour la musique : https://www.youtube.com/watch?v=xjSRwF0pHtc&amp;list=PLo1hNEB444aUfipwqyi6V5JAdjJ8c72Su&amp;index=4
Lien convertisseur : https://youtubetowav.com/</t>
  </si>
  <si>
    <t>Gestion du Game Over</t>
  </si>
  <si>
    <t>Correction d'un bug avec le bloquage et la suppresion des lignes</t>
  </si>
  <si>
    <t>Mise en DB de la partie</t>
  </si>
  <si>
    <t>MAJ du Journal</t>
  </si>
  <si>
    <t>Petit retard sur les tests mais le jeu est fini (plus que quelques bugs mineurs et des améliorations à faire)</t>
  </si>
  <si>
    <t>Réalisation des tests fonctionnels (+ tentative de mise en place de tests unitaires mais inutiles)</t>
  </si>
  <si>
    <t>Maj du rapport</t>
  </si>
  <si>
    <t>ajout de commentaires dans le code</t>
  </si>
  <si>
    <t>Ajout de commentaires dans le code + Création des dossiers pour les classes</t>
  </si>
  <si>
    <t>Maj du journal</t>
  </si>
  <si>
    <t>Correction avec le bloquage des lignes</t>
  </si>
  <si>
    <t>Gestion du jeu si la DB n'est pas accessible (le jeu n'a pas les questions et le joueur est averti avant de lancer une partie)</t>
  </si>
  <si>
    <t>Content d'avoir fini le jeu. Des améliorations sont possibles. Pas assez avancer dans le rapport selon moi. À faire mercredi</t>
  </si>
  <si>
    <t>Envoi des documents aux experts</t>
  </si>
  <si>
    <t>Correction des timeouts lié à la DB (créait une pause lors d'un appel à la DB comme lors du lancement du jeu ou de l'application ou de l'affichage des scores)</t>
  </si>
  <si>
    <t>Récpération des scripts (MPD de la DB) (1 script pour la création et 1 pour le remplissage de données)</t>
  </si>
  <si>
    <t>Organisation de la journée</t>
  </si>
  <si>
    <t>Vérification de l'application après retour de test de la CDP</t>
  </si>
  <si>
    <t>Relecture du rapport sur ce qui a été fait pour l'instant</t>
  </si>
  <si>
    <t>Optimisation et ajout de la touche escape pour quitter le jeu et revenir au menu principal</t>
  </si>
  <si>
    <t>66h30min</t>
  </si>
  <si>
    <t>- 25h50min</t>
  </si>
  <si>
    <t>Quelques corrections de bugs et petits ajouts. Le jeu est plus propre comme ça. Le rapport avance mais il reste beaucoup à faire.</t>
  </si>
  <si>
    <t>Mise à jour de la partie analyse et conception du rapport + quelques endroits (images, notes dans la partie réalisation)</t>
  </si>
  <si>
    <t>Relecture de ce qui a été fait hier</t>
  </si>
  <si>
    <t>Avancement dans le rapport (fin de conception, tests, début réalisation)</t>
  </si>
  <si>
    <t>Avancement dans le rapport (principalement dans la réalisation)</t>
  </si>
  <si>
    <t>J'ai pu structuré et bien préparé ce que j'allais écrire dans la réalisation. Il faut peut-être ordonné un peu mieux certains chapitres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</si>
</sst>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5" borderId="52" xfId="0" applyFill="1" applyBorder="1"/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6" fillId="8" borderId="46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2.5799999237060547</c:v>
              </c:pt>
              <c:pt idx="17">
                <c:v>20.5</c:v>
              </c:pt>
              <c:pt idx="18">
                <c:v>5.6700000762939453</c:v>
              </c:pt>
              <c:pt idx="19">
                <c:v>5.6700000762939453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16.170000076293945</c:v>
              </c:pt>
              <c:pt idx="12">
                <c:v>5.8299999237060547</c:v>
              </c:pt>
              <c:pt idx="13">
                <c:v>1.4199999570846558</c:v>
              </c:pt>
              <c:pt idx="14">
                <c:v>8.8299999237060547</c:v>
              </c:pt>
              <c:pt idx="15">
                <c:v>3.25</c:v>
              </c:pt>
              <c:pt idx="16">
                <c:v>1.4199999570846558</c:v>
              </c:pt>
              <c:pt idx="17">
                <c:v>11.170000076293945</c:v>
              </c:pt>
              <c:pt idx="18">
                <c:v>0.33000001311302185</c:v>
              </c:pt>
              <c:pt idx="19">
                <c:v>0</c:v>
              </c:pt>
              <c:pt idx="20">
                <c:v>4.3299999237060547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180975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W29" sqref="W2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6" t="s">
        <v>32</v>
      </c>
      <c r="C35" s="216"/>
      <c r="D35" s="216"/>
      <c r="E35" s="91" t="s">
        <v>252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7" t="s">
        <v>33</v>
      </c>
      <c r="C37" s="217"/>
      <c r="D37" s="217"/>
      <c r="E37" s="93" t="s">
        <v>277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278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U73"/>
  <sheetViews>
    <sheetView showGridLines="0" view="pageBreakPreview" topLeftCell="A22" zoomScale="55" zoomScaleNormal="70" zoomScaleSheetLayoutView="55" workbookViewId="0">
      <selection activeCell="F68" sqref="F68:BLT6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685" width="1.140625" style="2" customWidth="1"/>
    <col min="1686" max="16384" width="11.42578125" style="2"/>
  </cols>
  <sheetData>
    <row r="1" spans="1:1685" ht="35.1" customHeight="1" x14ac:dyDescent="0.25">
      <c r="B1" s="80"/>
      <c r="C1" s="242" t="s">
        <v>30</v>
      </c>
      <c r="D1" s="242"/>
      <c r="E1" s="24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</row>
    <row r="2" spans="1:168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</row>
    <row r="3" spans="1:1685" ht="30" customHeight="1" x14ac:dyDescent="0.25">
      <c r="B3" s="53"/>
      <c r="C3" s="5" t="s">
        <v>0</v>
      </c>
      <c r="D3" s="123"/>
      <c r="E3" s="6" t="s">
        <v>186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</row>
    <row r="4" spans="1:168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</row>
    <row r="5" spans="1:168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</row>
    <row r="6" spans="1:168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</row>
    <row r="7" spans="1:1685" ht="20.100000000000001" customHeight="1" thickBot="1" x14ac:dyDescent="0.3">
      <c r="B7" s="53"/>
      <c r="C7" s="243"/>
      <c r="D7" s="243"/>
      <c r="E7" s="24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</row>
    <row r="8" spans="1:1685" ht="30" customHeight="1" x14ac:dyDescent="0.25">
      <c r="B8" s="53"/>
      <c r="C8" s="5" t="s">
        <v>3</v>
      </c>
      <c r="D8" s="123"/>
      <c r="E8" s="6" t="s">
        <v>185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</row>
    <row r="9" spans="1:1685" ht="30" customHeight="1" x14ac:dyDescent="0.25">
      <c r="B9" s="53"/>
      <c r="C9" s="9" t="s">
        <v>17</v>
      </c>
      <c r="D9" s="124"/>
      <c r="E9" s="10" t="s">
        <v>21</v>
      </c>
      <c r="F9" s="11"/>
      <c r="G9" s="244" t="str">
        <f>E70</f>
        <v>92h20min</v>
      </c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4"/>
      <c r="S9" s="244"/>
      <c r="T9" s="244"/>
      <c r="U9" s="244"/>
      <c r="V9" s="103"/>
      <c r="W9" s="249" t="s">
        <v>22</v>
      </c>
      <c r="X9" s="249"/>
      <c r="Y9" s="249"/>
      <c r="Z9" s="249"/>
      <c r="AA9" s="249"/>
      <c r="AB9" s="249"/>
      <c r="AC9" s="249"/>
      <c r="AD9" s="249"/>
      <c r="AE9" s="249"/>
      <c r="AF9" s="249"/>
      <c r="AG9" s="249"/>
      <c r="AH9" s="244" t="str">
        <f>E72</f>
        <v>66h30min</v>
      </c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</row>
    <row r="10" spans="1:168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7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218"/>
      <c r="BHG10" s="218"/>
      <c r="BHH10" s="218"/>
      <c r="BHI10" s="218"/>
      <c r="BHJ10" s="218"/>
      <c r="BHK10" s="218"/>
      <c r="BHL10" s="218"/>
      <c r="BHM10" s="218"/>
      <c r="BHN10" s="218"/>
      <c r="BHO10" s="218"/>
      <c r="BHP10" s="218"/>
      <c r="BHQ10" s="218"/>
      <c r="BHR10" s="218"/>
      <c r="BHS10" s="218"/>
      <c r="BHT10" s="218"/>
      <c r="BHU10" s="218"/>
      <c r="BHV10" s="218"/>
      <c r="BHW10" s="218"/>
      <c r="BHX10" s="218"/>
      <c r="BHY10" s="218"/>
      <c r="BHZ10" s="218"/>
      <c r="BIA10" s="218"/>
      <c r="BIB10" s="218"/>
      <c r="BIC10" s="218"/>
      <c r="BID10" s="218"/>
      <c r="BIE10" s="218"/>
      <c r="BIF10" s="218"/>
      <c r="BIG10" s="218"/>
      <c r="BIH10" s="218"/>
      <c r="BII10" s="218"/>
      <c r="BIJ10" s="218"/>
      <c r="BIK10" s="218"/>
      <c r="BIL10" s="218"/>
      <c r="BIM10" s="218"/>
      <c r="BIN10" s="218"/>
      <c r="BIO10" s="218"/>
      <c r="BIP10" s="218"/>
      <c r="BIQ10" s="218"/>
      <c r="BIR10" s="218"/>
      <c r="BIS10" s="218"/>
      <c r="BIT10" s="218"/>
      <c r="BIU10" s="218"/>
      <c r="BIV10" s="218"/>
      <c r="BIW10" s="218"/>
      <c r="BIX10" s="218"/>
      <c r="BIY10" s="218"/>
      <c r="BIZ10" s="218"/>
      <c r="BJA10" s="218"/>
      <c r="BJB10" s="218"/>
      <c r="BJC10" s="218"/>
      <c r="BJD10" s="218"/>
      <c r="BJE10" s="218"/>
      <c r="BJF10" s="218"/>
      <c r="BJG10" s="218"/>
      <c r="BJH10" s="218"/>
      <c r="BJI10" s="218"/>
      <c r="BJJ10" s="218"/>
      <c r="BJK10" s="218"/>
      <c r="BJL10" s="218"/>
      <c r="BJM10" s="218"/>
      <c r="BJN10" s="218"/>
      <c r="BJO10" s="218"/>
      <c r="BJP10" s="218"/>
      <c r="BJQ10" s="218"/>
      <c r="BJR10" s="218"/>
      <c r="BJS10" s="218"/>
      <c r="BJT10" s="218"/>
      <c r="BJU10" s="218"/>
      <c r="BJV10" s="218"/>
      <c r="BJW10" s="218"/>
      <c r="BJX10" s="218"/>
      <c r="BJY10" s="218"/>
      <c r="BJZ10" s="218"/>
      <c r="BKA10" s="218"/>
      <c r="BKB10" s="218"/>
      <c r="BKC10" s="218"/>
      <c r="BKD10" s="218"/>
      <c r="BKE10" s="218"/>
      <c r="BKF10" s="218"/>
      <c r="BKG10" s="218"/>
      <c r="BKH10" s="218"/>
      <c r="BKI10" s="218"/>
      <c r="BKJ10" s="218"/>
      <c r="BKK10" s="218"/>
      <c r="BKL10" s="218"/>
      <c r="BKM10" s="218"/>
      <c r="BKN10" s="218"/>
      <c r="BKO10" s="218"/>
      <c r="BKP10" s="218"/>
      <c r="BKQ10" s="218"/>
      <c r="BKR10" s="218"/>
      <c r="BKS10" s="218"/>
      <c r="BKT10" s="218"/>
      <c r="BKU10" s="218"/>
      <c r="BKV10" s="218"/>
      <c r="BKW10" s="218"/>
      <c r="BKX10" s="218"/>
      <c r="BKY10" s="218"/>
      <c r="BKZ10" s="218"/>
      <c r="BLA10" s="218"/>
      <c r="BLB10" s="218"/>
      <c r="BLC10" s="218"/>
      <c r="BLD10" s="218"/>
      <c r="BLE10" s="218"/>
      <c r="BLF10" s="218"/>
      <c r="BLG10" s="218"/>
      <c r="BLH10" s="218"/>
      <c r="BLI10" s="218"/>
      <c r="BLJ10" s="218"/>
      <c r="BLK10" s="218"/>
      <c r="BLL10" s="218"/>
      <c r="BLM10" s="218"/>
      <c r="BLN10" s="218"/>
      <c r="BLO10" s="218"/>
      <c r="BLP10" s="218"/>
      <c r="BLQ10" s="218"/>
      <c r="BLR10" s="218"/>
      <c r="BLS10" s="218"/>
      <c r="BLT10" s="218"/>
      <c r="BLU10" s="218"/>
    </row>
    <row r="11" spans="1:1685" ht="20.100000000000001" customHeight="1" x14ac:dyDescent="0.25">
      <c r="B11" s="53"/>
      <c r="C11" s="240"/>
      <c r="D11" s="240"/>
      <c r="E11" s="240"/>
      <c r="F11" s="238" t="s">
        <v>75</v>
      </c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 t="s">
        <v>75</v>
      </c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8"/>
      <c r="DP11" s="238"/>
      <c r="DQ11" s="238"/>
      <c r="DR11" s="238"/>
      <c r="DS11" s="238"/>
      <c r="DT11" s="238"/>
      <c r="DU11" s="238"/>
      <c r="DV11" s="219" t="s">
        <v>74</v>
      </c>
      <c r="DW11" s="219"/>
      <c r="DX11" s="219"/>
      <c r="DY11" s="219"/>
      <c r="DZ11" s="219"/>
      <c r="EA11" s="219"/>
      <c r="EB11" s="219"/>
      <c r="EC11" s="219"/>
      <c r="ED11" s="219"/>
      <c r="EE11" s="219"/>
      <c r="EF11" s="219"/>
      <c r="EG11" s="219"/>
      <c r="EH11" s="219"/>
      <c r="EI11" s="219"/>
      <c r="EJ11" s="219"/>
      <c r="EK11" s="219"/>
      <c r="EL11" s="219"/>
      <c r="EM11" s="219"/>
      <c r="EN11" s="219"/>
      <c r="EO11" s="219"/>
      <c r="EP11" s="219"/>
      <c r="EQ11" s="219"/>
      <c r="ER11" s="219"/>
      <c r="ES11" s="219"/>
      <c r="ET11" s="219"/>
      <c r="EU11" s="219"/>
      <c r="EV11" s="219"/>
      <c r="EW11" s="219"/>
      <c r="EX11" s="219"/>
      <c r="EY11" s="219"/>
      <c r="EZ11" s="219"/>
      <c r="FA11" s="219"/>
      <c r="FB11" s="219"/>
      <c r="FC11" s="219"/>
      <c r="FD11" s="219"/>
      <c r="FE11" s="219"/>
      <c r="FF11" s="219"/>
      <c r="FG11" s="219"/>
      <c r="FH11" s="219"/>
      <c r="FI11" s="219"/>
      <c r="FJ11" s="219"/>
      <c r="FK11" s="219"/>
      <c r="FL11" s="219"/>
      <c r="FM11" s="219"/>
      <c r="FN11" s="219"/>
      <c r="FO11" s="219"/>
      <c r="FP11" s="219"/>
      <c r="FQ11" s="219"/>
      <c r="FR11" s="219"/>
      <c r="FS11" s="219"/>
      <c r="FT11" s="219"/>
      <c r="FU11" s="219"/>
      <c r="FV11" s="219"/>
      <c r="FW11" s="219"/>
      <c r="FX11" s="219"/>
      <c r="FY11" s="219"/>
      <c r="FZ11" s="219"/>
      <c r="GA11" s="219"/>
      <c r="GB11" s="219"/>
      <c r="GC11" s="219"/>
      <c r="GD11" s="219" t="s">
        <v>74</v>
      </c>
      <c r="GE11" s="219"/>
      <c r="GF11" s="219"/>
      <c r="GG11" s="219"/>
      <c r="GH11" s="219"/>
      <c r="GI11" s="219"/>
      <c r="GJ11" s="219"/>
      <c r="GK11" s="219"/>
      <c r="GL11" s="219"/>
      <c r="GM11" s="219"/>
      <c r="GN11" s="219"/>
      <c r="GO11" s="219"/>
      <c r="GP11" s="219"/>
      <c r="GQ11" s="219"/>
      <c r="GR11" s="219"/>
      <c r="GS11" s="219"/>
      <c r="GT11" s="219"/>
      <c r="GU11" s="219"/>
      <c r="GV11" s="219"/>
      <c r="GW11" s="219"/>
      <c r="GX11" s="219"/>
      <c r="GY11" s="219"/>
      <c r="GZ11" s="219"/>
      <c r="HA11" s="219"/>
      <c r="HB11" s="219"/>
      <c r="HC11" s="219"/>
      <c r="HD11" s="219"/>
      <c r="HE11" s="219"/>
      <c r="HF11" s="219"/>
      <c r="HG11" s="219"/>
      <c r="HH11" s="219"/>
      <c r="HI11" s="219"/>
      <c r="HJ11" s="219"/>
      <c r="HK11" s="219"/>
      <c r="HL11" s="219"/>
      <c r="HM11" s="219"/>
      <c r="HN11" s="219"/>
      <c r="HO11" s="219"/>
      <c r="HP11" s="219"/>
      <c r="HQ11" s="219"/>
      <c r="HR11" s="219"/>
      <c r="HS11" s="219"/>
      <c r="HT11" s="219"/>
      <c r="HU11" s="219"/>
      <c r="HV11" s="219"/>
      <c r="HW11" s="219"/>
      <c r="HX11" s="219"/>
      <c r="HY11" s="219"/>
      <c r="HZ11" s="219"/>
      <c r="IA11" s="219"/>
      <c r="IB11" s="219"/>
      <c r="IC11" s="219"/>
      <c r="ID11" s="219"/>
      <c r="IE11" s="219"/>
      <c r="IF11" s="219"/>
      <c r="IG11" s="219"/>
      <c r="IH11" s="219"/>
      <c r="II11" s="219"/>
      <c r="IJ11" s="219"/>
      <c r="IK11" s="219"/>
      <c r="IL11" s="219" t="s">
        <v>73</v>
      </c>
      <c r="IM11" s="219"/>
      <c r="IN11" s="219"/>
      <c r="IO11" s="219"/>
      <c r="IP11" s="219"/>
      <c r="IQ11" s="219"/>
      <c r="IR11" s="219"/>
      <c r="IS11" s="219"/>
      <c r="IT11" s="219"/>
      <c r="IU11" s="219"/>
      <c r="IV11" s="219"/>
      <c r="IW11" s="219"/>
      <c r="IX11" s="219"/>
      <c r="IY11" s="219"/>
      <c r="IZ11" s="219"/>
      <c r="JA11" s="219"/>
      <c r="JB11" s="219"/>
      <c r="JC11" s="219"/>
      <c r="JD11" s="219"/>
      <c r="JE11" s="219"/>
      <c r="JF11" s="219"/>
      <c r="JG11" s="219"/>
      <c r="JH11" s="219"/>
      <c r="JI11" s="219"/>
      <c r="JJ11" s="219"/>
      <c r="JK11" s="219"/>
      <c r="JL11" s="219"/>
      <c r="JM11" s="219"/>
      <c r="JN11" s="219"/>
      <c r="JO11" s="219"/>
      <c r="JP11" s="219"/>
      <c r="JQ11" s="219"/>
      <c r="JR11" s="219"/>
      <c r="JS11" s="219"/>
      <c r="JT11" s="219"/>
      <c r="JU11" s="219"/>
      <c r="JV11" s="219"/>
      <c r="JW11" s="219"/>
      <c r="JX11" s="219"/>
      <c r="JY11" s="219"/>
      <c r="JZ11" s="219"/>
      <c r="KA11" s="219"/>
      <c r="KB11" s="219"/>
      <c r="KC11" s="219"/>
      <c r="KD11" s="219"/>
      <c r="KE11" s="219"/>
      <c r="KF11" s="219"/>
      <c r="KG11" s="219"/>
      <c r="KH11" s="219"/>
      <c r="KI11" s="219"/>
      <c r="KJ11" s="219"/>
      <c r="KK11" s="219"/>
      <c r="KL11" s="219"/>
      <c r="KM11" s="219"/>
      <c r="KN11" s="219"/>
      <c r="KO11" s="219"/>
      <c r="KP11" s="219"/>
      <c r="KQ11" s="219"/>
      <c r="KR11" s="219"/>
      <c r="KS11" s="219"/>
      <c r="KT11" s="219" t="s">
        <v>72</v>
      </c>
      <c r="KU11" s="219"/>
      <c r="KV11" s="219"/>
      <c r="KW11" s="219"/>
      <c r="KX11" s="219"/>
      <c r="KY11" s="219"/>
      <c r="KZ11" s="219"/>
      <c r="LA11" s="219"/>
      <c r="LB11" s="219"/>
      <c r="LC11" s="219"/>
      <c r="LD11" s="219"/>
      <c r="LE11" s="219"/>
      <c r="LF11" s="219"/>
      <c r="LG11" s="219"/>
      <c r="LH11" s="219"/>
      <c r="LI11" s="219"/>
      <c r="LJ11" s="219"/>
      <c r="LK11" s="219"/>
      <c r="LL11" s="219"/>
      <c r="LM11" s="219"/>
      <c r="LN11" s="219"/>
      <c r="LO11" s="219"/>
      <c r="LP11" s="219"/>
      <c r="LQ11" s="219"/>
      <c r="LR11" s="219"/>
      <c r="LS11" s="219"/>
      <c r="LT11" s="219"/>
      <c r="LU11" s="219"/>
      <c r="LV11" s="219"/>
      <c r="LW11" s="219"/>
      <c r="LX11" s="219"/>
      <c r="LY11" s="219"/>
      <c r="LZ11" s="219"/>
      <c r="MA11" s="219"/>
      <c r="MB11" s="219"/>
      <c r="MC11" s="219"/>
      <c r="MD11" s="219"/>
      <c r="ME11" s="219"/>
      <c r="MF11" s="219"/>
      <c r="MG11" s="219"/>
      <c r="MH11" s="219"/>
      <c r="MI11" s="219"/>
      <c r="MJ11" s="219"/>
      <c r="MK11" s="219"/>
      <c r="ML11" s="219"/>
      <c r="MM11" s="219"/>
      <c r="MN11" s="219"/>
      <c r="MO11" s="219"/>
      <c r="MP11" s="219"/>
      <c r="MQ11" s="219"/>
      <c r="MR11" s="219"/>
      <c r="MS11" s="219"/>
      <c r="MT11" s="219"/>
      <c r="MU11" s="219"/>
      <c r="MV11" s="219"/>
      <c r="MW11" s="219"/>
      <c r="MX11" s="219"/>
      <c r="MY11" s="219"/>
      <c r="MZ11" s="219"/>
      <c r="NA11" s="219"/>
      <c r="NB11" s="219" t="s">
        <v>72</v>
      </c>
      <c r="NC11" s="219"/>
      <c r="ND11" s="219"/>
      <c r="NE11" s="219"/>
      <c r="NF11" s="219"/>
      <c r="NG11" s="219"/>
      <c r="NH11" s="219"/>
      <c r="NI11" s="219"/>
      <c r="NJ11" s="219"/>
      <c r="NK11" s="219"/>
      <c r="NL11" s="219"/>
      <c r="NM11" s="219"/>
      <c r="NN11" s="219"/>
      <c r="NO11" s="219"/>
      <c r="NP11" s="219"/>
      <c r="NQ11" s="219"/>
      <c r="NR11" s="219"/>
      <c r="NS11" s="219"/>
      <c r="NT11" s="219"/>
      <c r="NU11" s="219"/>
      <c r="NV11" s="219"/>
      <c r="NW11" s="219"/>
      <c r="NX11" s="219"/>
      <c r="NY11" s="219"/>
      <c r="NZ11" s="219"/>
      <c r="OA11" s="219"/>
      <c r="OB11" s="219"/>
      <c r="OC11" s="219"/>
      <c r="OD11" s="219"/>
      <c r="OE11" s="219"/>
      <c r="OF11" s="219"/>
      <c r="OG11" s="219"/>
      <c r="OH11" s="219"/>
      <c r="OI11" s="219"/>
      <c r="OJ11" s="219"/>
      <c r="OK11" s="219"/>
      <c r="OL11" s="219"/>
      <c r="OM11" s="219"/>
      <c r="ON11" s="219"/>
      <c r="OO11" s="219"/>
      <c r="OP11" s="219"/>
      <c r="OQ11" s="219"/>
      <c r="OR11" s="219"/>
      <c r="OS11" s="219"/>
      <c r="OT11" s="219"/>
      <c r="OU11" s="219"/>
      <c r="OV11" s="219"/>
      <c r="OW11" s="219"/>
      <c r="OX11" s="219"/>
      <c r="OY11" s="219"/>
      <c r="OZ11" s="219"/>
      <c r="PA11" s="219"/>
      <c r="PB11" s="219"/>
      <c r="PC11" s="219"/>
      <c r="PD11" s="219"/>
      <c r="PE11" s="219"/>
      <c r="PF11" s="219"/>
      <c r="PG11" s="219"/>
      <c r="PH11" s="219"/>
      <c r="PI11" s="219"/>
      <c r="PJ11" s="219" t="s">
        <v>71</v>
      </c>
      <c r="PK11" s="219"/>
      <c r="PL11" s="219"/>
      <c r="PM11" s="219"/>
      <c r="PN11" s="219"/>
      <c r="PO11" s="219"/>
      <c r="PP11" s="219"/>
      <c r="PQ11" s="219"/>
      <c r="PR11" s="219"/>
      <c r="PS11" s="219"/>
      <c r="PT11" s="219"/>
      <c r="PU11" s="219"/>
      <c r="PV11" s="219"/>
      <c r="PW11" s="219"/>
      <c r="PX11" s="219"/>
      <c r="PY11" s="219"/>
      <c r="PZ11" s="219"/>
      <c r="QA11" s="219"/>
      <c r="QB11" s="219"/>
      <c r="QC11" s="219"/>
      <c r="QD11" s="219"/>
      <c r="QE11" s="219"/>
      <c r="QF11" s="219"/>
      <c r="QG11" s="219"/>
      <c r="QH11" s="219"/>
      <c r="QI11" s="219"/>
      <c r="QJ11" s="219"/>
      <c r="QK11" s="219"/>
      <c r="QL11" s="219"/>
      <c r="QM11" s="219"/>
      <c r="QN11" s="219"/>
      <c r="QO11" s="219"/>
      <c r="QP11" s="219"/>
      <c r="QQ11" s="219"/>
      <c r="QR11" s="219"/>
      <c r="QS11" s="219"/>
      <c r="QT11" s="219"/>
      <c r="QU11" s="219"/>
      <c r="QV11" s="219"/>
      <c r="QW11" s="219"/>
      <c r="QX11" s="219"/>
      <c r="QY11" s="219"/>
      <c r="QZ11" s="219"/>
      <c r="RA11" s="219"/>
      <c r="RB11" s="219"/>
      <c r="RC11" s="219"/>
      <c r="RD11" s="219"/>
      <c r="RE11" s="219"/>
      <c r="RF11" s="219"/>
      <c r="RG11" s="219"/>
      <c r="RH11" s="219"/>
      <c r="RI11" s="219"/>
      <c r="RJ11" s="219"/>
      <c r="RK11" s="219"/>
      <c r="RL11" s="219"/>
      <c r="RM11" s="219"/>
      <c r="RN11" s="219"/>
      <c r="RO11" s="219"/>
      <c r="RP11" s="219"/>
      <c r="RQ11" s="219"/>
      <c r="RR11" s="219" t="s">
        <v>71</v>
      </c>
      <c r="RS11" s="219"/>
      <c r="RT11" s="219"/>
      <c r="RU11" s="219"/>
      <c r="RV11" s="219"/>
      <c r="RW11" s="219"/>
      <c r="RX11" s="219"/>
      <c r="RY11" s="219"/>
      <c r="RZ11" s="219"/>
      <c r="SA11" s="219"/>
      <c r="SB11" s="219"/>
      <c r="SC11" s="219"/>
      <c r="SD11" s="219"/>
      <c r="SE11" s="219"/>
      <c r="SF11" s="219"/>
      <c r="SG11" s="219"/>
      <c r="SH11" s="219"/>
      <c r="SI11" s="219"/>
      <c r="SJ11" s="219"/>
      <c r="SK11" s="219"/>
      <c r="SL11" s="219"/>
      <c r="SM11" s="219"/>
      <c r="SN11" s="219"/>
      <c r="SO11" s="219"/>
      <c r="SP11" s="219"/>
      <c r="SQ11" s="219"/>
      <c r="SR11" s="219"/>
      <c r="SS11" s="219"/>
      <c r="ST11" s="219"/>
      <c r="SU11" s="219"/>
      <c r="SV11" s="219"/>
      <c r="SW11" s="219"/>
      <c r="SX11" s="219"/>
      <c r="SY11" s="219"/>
      <c r="SZ11" s="219"/>
      <c r="TA11" s="219"/>
      <c r="TB11" s="219"/>
      <c r="TC11" s="219"/>
      <c r="TD11" s="219"/>
      <c r="TE11" s="219"/>
      <c r="TF11" s="219"/>
      <c r="TG11" s="219"/>
      <c r="TH11" s="219"/>
      <c r="TI11" s="219"/>
      <c r="TJ11" s="219"/>
      <c r="TK11" s="219"/>
      <c r="TL11" s="219"/>
      <c r="TM11" s="219"/>
      <c r="TN11" s="219"/>
      <c r="TO11" s="219"/>
      <c r="TP11" s="219"/>
      <c r="TQ11" s="219"/>
      <c r="TR11" s="219"/>
      <c r="TS11" s="219"/>
      <c r="TT11" s="219"/>
      <c r="TU11" s="219"/>
      <c r="TV11" s="219"/>
      <c r="TW11" s="219"/>
      <c r="TX11" s="219"/>
      <c r="TY11" s="219"/>
      <c r="TZ11" s="219" t="s">
        <v>70</v>
      </c>
      <c r="UA11" s="219"/>
      <c r="UB11" s="219"/>
      <c r="UC11" s="219"/>
      <c r="UD11" s="219"/>
      <c r="UE11" s="219"/>
      <c r="UF11" s="219"/>
      <c r="UG11" s="219"/>
      <c r="UH11" s="219"/>
      <c r="UI11" s="219"/>
      <c r="UJ11" s="219"/>
      <c r="UK11" s="219"/>
      <c r="UL11" s="219"/>
      <c r="UM11" s="219"/>
      <c r="UN11" s="219"/>
      <c r="UO11" s="219"/>
      <c r="UP11" s="219"/>
      <c r="UQ11" s="219"/>
      <c r="UR11" s="219"/>
      <c r="US11" s="219"/>
      <c r="UT11" s="219"/>
      <c r="UU11" s="219"/>
      <c r="UV11" s="219"/>
      <c r="UW11" s="219"/>
      <c r="UX11" s="219"/>
      <c r="UY11" s="219"/>
      <c r="UZ11" s="219"/>
      <c r="VA11" s="219"/>
      <c r="VB11" s="219"/>
      <c r="VC11" s="219"/>
      <c r="VD11" s="219"/>
      <c r="VE11" s="219"/>
      <c r="VF11" s="219"/>
      <c r="VG11" s="219"/>
      <c r="VH11" s="219"/>
      <c r="VI11" s="219"/>
      <c r="VJ11" s="219"/>
      <c r="VK11" s="219"/>
      <c r="VL11" s="219"/>
      <c r="VM11" s="219"/>
      <c r="VN11" s="219"/>
      <c r="VO11" s="219"/>
      <c r="VP11" s="219"/>
      <c r="VQ11" s="219"/>
      <c r="VR11" s="219"/>
      <c r="VS11" s="219"/>
      <c r="VT11" s="219"/>
      <c r="VU11" s="219"/>
      <c r="VV11" s="219"/>
      <c r="VW11" s="219"/>
      <c r="VX11" s="219"/>
      <c r="VY11" s="219"/>
      <c r="VZ11" s="219"/>
      <c r="WA11" s="219"/>
      <c r="WB11" s="219"/>
      <c r="WC11" s="219"/>
      <c r="WD11" s="219"/>
      <c r="WE11" s="219"/>
      <c r="WF11" s="219"/>
      <c r="WG11" s="219"/>
      <c r="WH11" s="219" t="s">
        <v>70</v>
      </c>
      <c r="WI11" s="219"/>
      <c r="WJ11" s="219"/>
      <c r="WK11" s="219"/>
      <c r="WL11" s="219"/>
      <c r="WM11" s="219"/>
      <c r="WN11" s="219"/>
      <c r="WO11" s="219"/>
      <c r="WP11" s="219"/>
      <c r="WQ11" s="219"/>
      <c r="WR11" s="219"/>
      <c r="WS11" s="219"/>
      <c r="WT11" s="219"/>
      <c r="WU11" s="219"/>
      <c r="WV11" s="219"/>
      <c r="WW11" s="219"/>
      <c r="WX11" s="219"/>
      <c r="WY11" s="219"/>
      <c r="WZ11" s="219"/>
      <c r="XA11" s="219"/>
      <c r="XB11" s="219"/>
      <c r="XC11" s="219"/>
      <c r="XD11" s="219"/>
      <c r="XE11" s="219"/>
      <c r="XF11" s="219"/>
      <c r="XG11" s="219"/>
      <c r="XH11" s="219"/>
      <c r="XI11" s="219"/>
      <c r="XJ11" s="219"/>
      <c r="XK11" s="219"/>
      <c r="XL11" s="219"/>
      <c r="XM11" s="219"/>
      <c r="XN11" s="219"/>
      <c r="XO11" s="219"/>
      <c r="XP11" s="219"/>
      <c r="XQ11" s="219"/>
      <c r="XR11" s="219"/>
      <c r="XS11" s="219"/>
      <c r="XT11" s="219"/>
      <c r="XU11" s="219"/>
      <c r="XV11" s="219"/>
      <c r="XW11" s="219"/>
      <c r="XX11" s="219"/>
      <c r="XY11" s="219"/>
      <c r="XZ11" s="219"/>
      <c r="YA11" s="219"/>
      <c r="YB11" s="219"/>
      <c r="YC11" s="219"/>
      <c r="YD11" s="219"/>
      <c r="YE11" s="219"/>
      <c r="YF11" s="219"/>
      <c r="YG11" s="219"/>
      <c r="YH11" s="219"/>
      <c r="YI11" s="219"/>
      <c r="YJ11" s="219"/>
      <c r="YK11" s="219"/>
      <c r="YL11" s="219"/>
      <c r="YM11" s="219"/>
      <c r="YN11" s="219"/>
      <c r="YO11" s="219"/>
      <c r="YP11" s="219" t="s">
        <v>67</v>
      </c>
      <c r="YQ11" s="219"/>
      <c r="YR11" s="219"/>
      <c r="YS11" s="219"/>
      <c r="YT11" s="219"/>
      <c r="YU11" s="219"/>
      <c r="YV11" s="219"/>
      <c r="YW11" s="219"/>
      <c r="YX11" s="219"/>
      <c r="YY11" s="219"/>
      <c r="YZ11" s="219"/>
      <c r="ZA11" s="219"/>
      <c r="ZB11" s="219"/>
      <c r="ZC11" s="219"/>
      <c r="ZD11" s="219"/>
      <c r="ZE11" s="219"/>
      <c r="ZF11" s="219"/>
      <c r="ZG11" s="219"/>
      <c r="ZH11" s="219"/>
      <c r="ZI11" s="219"/>
      <c r="ZJ11" s="219"/>
      <c r="ZK11" s="219"/>
      <c r="ZL11" s="219"/>
      <c r="ZM11" s="219"/>
      <c r="ZN11" s="219"/>
      <c r="ZO11" s="219"/>
      <c r="ZP11" s="219"/>
      <c r="ZQ11" s="219"/>
      <c r="ZR11" s="219"/>
      <c r="ZS11" s="219"/>
      <c r="ZT11" s="219"/>
      <c r="ZU11" s="219"/>
      <c r="ZV11" s="219"/>
      <c r="ZW11" s="219"/>
      <c r="ZX11" s="219"/>
      <c r="ZY11" s="219"/>
      <c r="ZZ11" s="219"/>
      <c r="AAA11" s="219"/>
      <c r="AAB11" s="219"/>
      <c r="AAC11" s="219"/>
      <c r="AAD11" s="219"/>
      <c r="AAE11" s="219"/>
      <c r="AAF11" s="219"/>
      <c r="AAG11" s="219"/>
      <c r="AAH11" s="219"/>
      <c r="AAI11" s="219"/>
      <c r="AAJ11" s="219"/>
      <c r="AAK11" s="219"/>
      <c r="AAL11" s="219"/>
      <c r="AAM11" s="219"/>
      <c r="AAN11" s="219"/>
      <c r="AAO11" s="219"/>
      <c r="AAP11" s="219"/>
      <c r="AAQ11" s="219"/>
      <c r="AAR11" s="219"/>
      <c r="AAS11" s="219"/>
      <c r="AAT11" s="219"/>
      <c r="AAU11" s="219"/>
      <c r="AAV11" s="219"/>
      <c r="AAW11" s="219"/>
      <c r="AAX11" s="219" t="s">
        <v>67</v>
      </c>
      <c r="AAY11" s="219"/>
      <c r="AAZ11" s="219"/>
      <c r="ABA11" s="219"/>
      <c r="ABB11" s="219"/>
      <c r="ABC11" s="219"/>
      <c r="ABD11" s="219"/>
      <c r="ABE11" s="219"/>
      <c r="ABF11" s="219"/>
      <c r="ABG11" s="219"/>
      <c r="ABH11" s="219"/>
      <c r="ABI11" s="219"/>
      <c r="ABJ11" s="219"/>
      <c r="ABK11" s="219"/>
      <c r="ABL11" s="219"/>
      <c r="ABM11" s="219"/>
      <c r="ABN11" s="219"/>
      <c r="ABO11" s="219"/>
      <c r="ABP11" s="219"/>
      <c r="ABQ11" s="219"/>
      <c r="ABR11" s="219"/>
      <c r="ABS11" s="219"/>
      <c r="ABT11" s="219"/>
      <c r="ABU11" s="219"/>
      <c r="ABV11" s="219"/>
      <c r="ABW11" s="219"/>
      <c r="ABX11" s="219"/>
      <c r="ABY11" s="219"/>
      <c r="ABZ11" s="219"/>
      <c r="ACA11" s="219"/>
      <c r="ACB11" s="219"/>
      <c r="ACC11" s="219"/>
      <c r="ACD11" s="219"/>
      <c r="ACE11" s="219"/>
      <c r="ACF11" s="219"/>
      <c r="ACG11" s="219"/>
      <c r="ACH11" s="219"/>
      <c r="ACI11" s="219"/>
      <c r="ACJ11" s="219"/>
      <c r="ACK11" s="219"/>
      <c r="ACL11" s="219"/>
      <c r="ACM11" s="219"/>
      <c r="ACN11" s="219"/>
      <c r="ACO11" s="219"/>
      <c r="ACP11" s="219"/>
      <c r="ACQ11" s="219"/>
      <c r="ACR11" s="219"/>
      <c r="ACS11" s="219"/>
      <c r="ACT11" s="219"/>
      <c r="ACU11" s="219"/>
      <c r="ACV11" s="219"/>
      <c r="ACW11" s="219"/>
      <c r="ACX11" s="219"/>
      <c r="ACY11" s="219"/>
      <c r="ACZ11" s="219"/>
      <c r="ADA11" s="219"/>
      <c r="ADB11" s="219"/>
      <c r="ADC11" s="219"/>
      <c r="ADD11" s="219"/>
      <c r="ADE11" s="219"/>
      <c r="ADF11" s="219" t="s">
        <v>64</v>
      </c>
      <c r="ADG11" s="219"/>
      <c r="ADH11" s="219"/>
      <c r="ADI11" s="219"/>
      <c r="ADJ11" s="219"/>
      <c r="ADK11" s="219"/>
      <c r="ADL11" s="219"/>
      <c r="ADM11" s="219"/>
      <c r="ADN11" s="219"/>
      <c r="ADO11" s="219"/>
      <c r="ADP11" s="219"/>
      <c r="ADQ11" s="219"/>
      <c r="ADR11" s="219"/>
      <c r="ADS11" s="219"/>
      <c r="ADT11" s="219"/>
      <c r="ADU11" s="219"/>
      <c r="ADV11" s="219"/>
      <c r="ADW11" s="219"/>
      <c r="ADX11" s="219"/>
      <c r="ADY11" s="219"/>
      <c r="ADZ11" s="219"/>
      <c r="AEA11" s="219"/>
      <c r="AEB11" s="219"/>
      <c r="AEC11" s="219"/>
      <c r="AED11" s="219"/>
      <c r="AEE11" s="219"/>
      <c r="AEF11" s="219"/>
      <c r="AEG11" s="219"/>
      <c r="AEH11" s="219"/>
      <c r="AEI11" s="219"/>
      <c r="AEJ11" s="219"/>
      <c r="AEK11" s="219"/>
      <c r="AEL11" s="219"/>
      <c r="AEM11" s="219"/>
      <c r="AEN11" s="219"/>
      <c r="AEO11" s="219"/>
      <c r="AEP11" s="219"/>
      <c r="AEQ11" s="219"/>
      <c r="AER11" s="219"/>
      <c r="AES11" s="219"/>
      <c r="AET11" s="219"/>
      <c r="AEU11" s="219"/>
      <c r="AEV11" s="219"/>
      <c r="AEW11" s="219"/>
      <c r="AEX11" s="219"/>
      <c r="AEY11" s="219"/>
      <c r="AEZ11" s="219"/>
      <c r="AFA11" s="219"/>
      <c r="AFB11" s="219"/>
      <c r="AFC11" s="219"/>
      <c r="AFD11" s="219"/>
      <c r="AFE11" s="219"/>
      <c r="AFF11" s="219"/>
      <c r="AFG11" s="219"/>
      <c r="AFH11" s="219"/>
      <c r="AFI11" s="219"/>
      <c r="AFJ11" s="219"/>
      <c r="AFK11" s="219"/>
      <c r="AFL11" s="219"/>
      <c r="AFM11" s="219"/>
      <c r="AFN11" s="219" t="s">
        <v>64</v>
      </c>
      <c r="AFO11" s="219"/>
      <c r="AFP11" s="219"/>
      <c r="AFQ11" s="219"/>
      <c r="AFR11" s="219"/>
      <c r="AFS11" s="219"/>
      <c r="AFT11" s="219"/>
      <c r="AFU11" s="219"/>
      <c r="AFV11" s="219"/>
      <c r="AFW11" s="219"/>
      <c r="AFX11" s="219"/>
      <c r="AFY11" s="219"/>
      <c r="AFZ11" s="219"/>
      <c r="AGA11" s="219"/>
      <c r="AGB11" s="219"/>
      <c r="AGC11" s="219"/>
      <c r="AGD11" s="219"/>
      <c r="AGE11" s="219"/>
      <c r="AGF11" s="219"/>
      <c r="AGG11" s="219"/>
      <c r="AGH11" s="219"/>
      <c r="AGI11" s="219"/>
      <c r="AGJ11" s="219"/>
      <c r="AGK11" s="219"/>
      <c r="AGL11" s="219"/>
      <c r="AGM11" s="219"/>
      <c r="AGN11" s="219"/>
      <c r="AGO11" s="219"/>
      <c r="AGP11" s="219"/>
      <c r="AGQ11" s="219"/>
      <c r="AGR11" s="219"/>
      <c r="AGS11" s="219"/>
      <c r="AGT11" s="219"/>
      <c r="AGU11" s="219"/>
      <c r="AGV11" s="219"/>
      <c r="AGW11" s="219"/>
      <c r="AGX11" s="219"/>
      <c r="AGY11" s="219"/>
      <c r="AGZ11" s="219"/>
      <c r="AHA11" s="219"/>
      <c r="AHB11" s="219"/>
      <c r="AHC11" s="219"/>
      <c r="AHD11" s="219"/>
      <c r="AHE11" s="219"/>
      <c r="AHF11" s="219"/>
      <c r="AHG11" s="219"/>
      <c r="AHH11" s="219"/>
      <c r="AHI11" s="219"/>
      <c r="AHJ11" s="219"/>
      <c r="AHK11" s="219"/>
      <c r="AHL11" s="219"/>
      <c r="AHM11" s="219"/>
      <c r="AHN11" s="219"/>
      <c r="AHO11" s="219"/>
      <c r="AHP11" s="219"/>
      <c r="AHQ11" s="219"/>
      <c r="AHR11" s="219"/>
      <c r="AHS11" s="219"/>
      <c r="AHT11" s="219"/>
      <c r="AHU11" s="219"/>
      <c r="AHV11" s="219" t="s">
        <v>62</v>
      </c>
      <c r="AHW11" s="219"/>
      <c r="AHX11" s="219"/>
      <c r="AHY11" s="219"/>
      <c r="AHZ11" s="219"/>
      <c r="AIA11" s="219"/>
      <c r="AIB11" s="219"/>
      <c r="AIC11" s="219"/>
      <c r="AID11" s="219"/>
      <c r="AIE11" s="219"/>
      <c r="AIF11" s="219"/>
      <c r="AIG11" s="219"/>
      <c r="AIH11" s="219"/>
      <c r="AII11" s="219"/>
      <c r="AIJ11" s="219"/>
      <c r="AIK11" s="219"/>
      <c r="AIL11" s="219"/>
      <c r="AIM11" s="219"/>
      <c r="AIN11" s="219"/>
      <c r="AIO11" s="219"/>
      <c r="AIP11" s="219"/>
      <c r="AIQ11" s="219"/>
      <c r="AIR11" s="219"/>
      <c r="AIS11" s="219"/>
      <c r="AIT11" s="219"/>
      <c r="AIU11" s="219"/>
      <c r="AIV11" s="219"/>
      <c r="AIW11" s="219"/>
      <c r="AIX11" s="219"/>
      <c r="AIY11" s="219"/>
      <c r="AIZ11" s="219"/>
      <c r="AJA11" s="219"/>
      <c r="AJB11" s="219"/>
      <c r="AJC11" s="219"/>
      <c r="AJD11" s="219"/>
      <c r="AJE11" s="219"/>
      <c r="AJF11" s="219"/>
      <c r="AJG11" s="219"/>
      <c r="AJH11" s="219"/>
      <c r="AJI11" s="219"/>
      <c r="AJJ11" s="219"/>
      <c r="AJK11" s="219"/>
      <c r="AJL11" s="219"/>
      <c r="AJM11" s="219"/>
      <c r="AJN11" s="219"/>
      <c r="AJO11" s="219"/>
      <c r="AJP11" s="219"/>
      <c r="AJQ11" s="219"/>
      <c r="AJR11" s="219"/>
      <c r="AJS11" s="219"/>
      <c r="AJT11" s="219"/>
      <c r="AJU11" s="219"/>
      <c r="AJV11" s="219"/>
      <c r="AJW11" s="219"/>
      <c r="AJX11" s="219"/>
      <c r="AJY11" s="219"/>
      <c r="AJZ11" s="219"/>
      <c r="AKA11" s="219"/>
      <c r="AKB11" s="219"/>
      <c r="AKC11" s="219"/>
      <c r="AKD11" s="219" t="s">
        <v>59</v>
      </c>
      <c r="AKE11" s="219"/>
      <c r="AKF11" s="219"/>
      <c r="AKG11" s="219"/>
      <c r="AKH11" s="219"/>
      <c r="AKI11" s="219"/>
      <c r="AKJ11" s="219"/>
      <c r="AKK11" s="219"/>
      <c r="AKL11" s="219"/>
      <c r="AKM11" s="219"/>
      <c r="AKN11" s="219"/>
      <c r="AKO11" s="219"/>
      <c r="AKP11" s="219"/>
      <c r="AKQ11" s="219"/>
      <c r="AKR11" s="219"/>
      <c r="AKS11" s="219"/>
      <c r="AKT11" s="219"/>
      <c r="AKU11" s="219"/>
      <c r="AKV11" s="219"/>
      <c r="AKW11" s="219"/>
      <c r="AKX11" s="219"/>
      <c r="AKY11" s="219"/>
      <c r="AKZ11" s="219"/>
      <c r="ALA11" s="219"/>
      <c r="ALB11" s="219"/>
      <c r="ALC11" s="219"/>
      <c r="ALD11" s="219"/>
      <c r="ALE11" s="219"/>
      <c r="ALF11" s="219"/>
      <c r="ALG11" s="219"/>
      <c r="ALH11" s="219"/>
      <c r="ALI11" s="219"/>
      <c r="ALJ11" s="219"/>
      <c r="ALK11" s="219"/>
      <c r="ALL11" s="219"/>
      <c r="ALM11" s="219"/>
      <c r="ALN11" s="219"/>
      <c r="ALO11" s="219"/>
      <c r="ALP11" s="219"/>
      <c r="ALQ11" s="219"/>
      <c r="ALR11" s="219"/>
      <c r="ALS11" s="219"/>
      <c r="ALT11" s="219"/>
      <c r="ALU11" s="219"/>
      <c r="ALV11" s="219"/>
      <c r="ALW11" s="219"/>
      <c r="ALX11" s="219"/>
      <c r="ALY11" s="219"/>
      <c r="ALZ11" s="219"/>
      <c r="AMA11" s="219"/>
      <c r="AMB11" s="219"/>
      <c r="AMC11" s="219"/>
      <c r="AMD11" s="219"/>
      <c r="AME11" s="219"/>
      <c r="AMF11" s="219"/>
      <c r="AMG11" s="219"/>
      <c r="AMH11" s="219"/>
      <c r="AMI11" s="219"/>
      <c r="AMJ11" s="219"/>
      <c r="AMK11" s="219"/>
      <c r="AML11" s="219" t="s">
        <v>59</v>
      </c>
      <c r="AMM11" s="219"/>
      <c r="AMN11" s="219"/>
      <c r="AMO11" s="219"/>
      <c r="AMP11" s="219"/>
      <c r="AMQ11" s="219"/>
      <c r="AMR11" s="219"/>
      <c r="AMS11" s="219"/>
      <c r="AMT11" s="219"/>
      <c r="AMU11" s="219"/>
      <c r="AMV11" s="219"/>
      <c r="AMW11" s="219"/>
      <c r="AMX11" s="219"/>
      <c r="AMY11" s="219"/>
      <c r="AMZ11" s="219"/>
      <c r="ANA11" s="219"/>
      <c r="ANB11" s="219"/>
      <c r="ANC11" s="219"/>
      <c r="AND11" s="219"/>
      <c r="ANE11" s="219"/>
      <c r="ANF11" s="219"/>
      <c r="ANG11" s="219"/>
      <c r="ANH11" s="219"/>
      <c r="ANI11" s="219"/>
      <c r="ANJ11" s="219"/>
      <c r="ANK11" s="219"/>
      <c r="ANL11" s="219"/>
      <c r="ANM11" s="219"/>
      <c r="ANN11" s="219"/>
      <c r="ANO11" s="219"/>
      <c r="ANP11" s="219"/>
      <c r="ANQ11" s="219"/>
      <c r="ANR11" s="219"/>
      <c r="ANS11" s="219"/>
      <c r="ANT11" s="219"/>
      <c r="ANU11" s="219"/>
      <c r="ANV11" s="219"/>
      <c r="ANW11" s="219"/>
      <c r="ANX11" s="219"/>
      <c r="ANY11" s="219"/>
      <c r="ANZ11" s="219"/>
      <c r="AOA11" s="219"/>
      <c r="AOB11" s="219"/>
      <c r="AOC11" s="219"/>
      <c r="AOD11" s="219"/>
      <c r="AOE11" s="219"/>
      <c r="AOF11" s="219"/>
      <c r="AOG11" s="219"/>
      <c r="AOH11" s="219"/>
      <c r="AOI11" s="219"/>
      <c r="AOJ11" s="219"/>
      <c r="AOK11" s="219"/>
      <c r="AOL11" s="219"/>
      <c r="AOM11" s="219"/>
      <c r="AON11" s="219"/>
      <c r="AOO11" s="219"/>
      <c r="AOP11" s="219"/>
      <c r="AOQ11" s="219"/>
      <c r="AOR11" s="219"/>
      <c r="AOS11" s="219"/>
      <c r="AOT11" s="219" t="s">
        <v>139</v>
      </c>
      <c r="AOU11" s="219"/>
      <c r="AOV11" s="219"/>
      <c r="AOW11" s="219"/>
      <c r="AOX11" s="219"/>
      <c r="AOY11" s="219"/>
      <c r="AOZ11" s="219"/>
      <c r="APA11" s="219"/>
      <c r="APB11" s="219"/>
      <c r="APC11" s="219"/>
      <c r="APD11" s="219"/>
      <c r="APE11" s="219"/>
      <c r="APF11" s="219"/>
      <c r="APG11" s="219"/>
      <c r="APH11" s="219"/>
      <c r="API11" s="219"/>
      <c r="APJ11" s="219"/>
      <c r="APK11" s="219"/>
      <c r="APL11" s="219"/>
      <c r="APM11" s="219"/>
      <c r="APN11" s="219"/>
      <c r="APO11" s="219"/>
      <c r="APP11" s="219"/>
      <c r="APQ11" s="219"/>
      <c r="APR11" s="219"/>
      <c r="APS11" s="219"/>
      <c r="APT11" s="219"/>
      <c r="APU11" s="219"/>
      <c r="APV11" s="219"/>
      <c r="APW11" s="219"/>
      <c r="APX11" s="219"/>
      <c r="APY11" s="219"/>
      <c r="APZ11" s="219"/>
      <c r="AQA11" s="219"/>
      <c r="AQB11" s="219"/>
      <c r="AQC11" s="219"/>
      <c r="AQD11" s="219"/>
      <c r="AQE11" s="219"/>
      <c r="AQF11" s="219"/>
      <c r="AQG11" s="219"/>
      <c r="AQH11" s="219"/>
      <c r="AQI11" s="219"/>
      <c r="AQJ11" s="219"/>
      <c r="AQK11" s="219"/>
      <c r="AQL11" s="219"/>
      <c r="AQM11" s="219"/>
      <c r="AQN11" s="219"/>
      <c r="AQO11" s="219"/>
      <c r="AQP11" s="219"/>
      <c r="AQQ11" s="219"/>
      <c r="AQR11" s="219"/>
      <c r="AQS11" s="219"/>
      <c r="AQT11" s="219"/>
      <c r="AQU11" s="219"/>
      <c r="AQV11" s="219"/>
      <c r="AQW11" s="219"/>
      <c r="AQX11" s="219"/>
      <c r="AQY11" s="219"/>
      <c r="AQZ11" s="219"/>
      <c r="ARA11" s="219"/>
      <c r="ARB11" s="219" t="s">
        <v>139</v>
      </c>
      <c r="ARC11" s="219"/>
      <c r="ARD11" s="219"/>
      <c r="ARE11" s="219"/>
      <c r="ARF11" s="219"/>
      <c r="ARG11" s="219"/>
      <c r="ARH11" s="219"/>
      <c r="ARI11" s="219"/>
      <c r="ARJ11" s="219"/>
      <c r="ARK11" s="219"/>
      <c r="ARL11" s="219"/>
      <c r="ARM11" s="219"/>
      <c r="ARN11" s="219"/>
      <c r="ARO11" s="219"/>
      <c r="ARP11" s="219"/>
      <c r="ARQ11" s="219"/>
      <c r="ARR11" s="219"/>
      <c r="ARS11" s="219"/>
      <c r="ART11" s="219"/>
      <c r="ARU11" s="219"/>
      <c r="ARV11" s="219"/>
      <c r="ARW11" s="219"/>
      <c r="ARX11" s="219"/>
      <c r="ARY11" s="219"/>
      <c r="ARZ11" s="219"/>
      <c r="ASA11" s="219"/>
      <c r="ASB11" s="219"/>
      <c r="ASC11" s="219"/>
      <c r="ASD11" s="219"/>
      <c r="ASE11" s="219"/>
      <c r="ASF11" s="219"/>
      <c r="ASG11" s="219"/>
      <c r="ASH11" s="219"/>
      <c r="ASI11" s="219"/>
      <c r="ASJ11" s="219"/>
      <c r="ASK11" s="219"/>
      <c r="ASL11" s="219"/>
      <c r="ASM11" s="219"/>
      <c r="ASN11" s="219"/>
      <c r="ASO11" s="219"/>
      <c r="ASP11" s="219"/>
      <c r="ASQ11" s="219"/>
      <c r="ASR11" s="219"/>
      <c r="ASS11" s="219"/>
      <c r="AST11" s="219"/>
      <c r="ASU11" s="219"/>
      <c r="ASV11" s="219"/>
      <c r="ASW11" s="219"/>
      <c r="ASX11" s="219"/>
      <c r="ASY11" s="219"/>
      <c r="ASZ11" s="219"/>
      <c r="ATA11" s="219"/>
      <c r="ATB11" s="219"/>
      <c r="ATC11" s="219"/>
      <c r="ATD11" s="219"/>
      <c r="ATE11" s="219"/>
      <c r="ATF11" s="219"/>
      <c r="ATG11" s="219"/>
      <c r="ATH11" s="219"/>
      <c r="ATI11" s="219"/>
      <c r="ATJ11" s="219" t="s">
        <v>137</v>
      </c>
      <c r="ATK11" s="219"/>
      <c r="ATL11" s="219"/>
      <c r="ATM11" s="219"/>
      <c r="ATN11" s="219"/>
      <c r="ATO11" s="219"/>
      <c r="ATP11" s="219"/>
      <c r="ATQ11" s="219"/>
      <c r="ATR11" s="219"/>
      <c r="ATS11" s="219"/>
      <c r="ATT11" s="219"/>
      <c r="ATU11" s="219"/>
      <c r="ATV11" s="219"/>
      <c r="ATW11" s="219"/>
      <c r="ATX11" s="219"/>
      <c r="ATY11" s="219"/>
      <c r="ATZ11" s="219"/>
      <c r="AUA11" s="219"/>
      <c r="AUB11" s="219"/>
      <c r="AUC11" s="219"/>
      <c r="AUD11" s="219"/>
      <c r="AUE11" s="219"/>
      <c r="AUF11" s="219"/>
      <c r="AUG11" s="219"/>
      <c r="AUH11" s="219"/>
      <c r="AUI11" s="219"/>
      <c r="AUJ11" s="219"/>
      <c r="AUK11" s="219"/>
      <c r="AUL11" s="219"/>
      <c r="AUM11" s="219"/>
      <c r="AUN11" s="219"/>
      <c r="AUO11" s="219"/>
      <c r="AUP11" s="219"/>
      <c r="AUQ11" s="219"/>
      <c r="AUR11" s="219"/>
      <c r="AUS11" s="219"/>
      <c r="AUT11" s="219"/>
      <c r="AUU11" s="219"/>
      <c r="AUV11" s="219"/>
      <c r="AUW11" s="219"/>
      <c r="AUX11" s="219"/>
      <c r="AUY11" s="219"/>
      <c r="AUZ11" s="219"/>
      <c r="AVA11" s="219"/>
      <c r="AVB11" s="219"/>
      <c r="AVC11" s="219"/>
      <c r="AVD11" s="219"/>
      <c r="AVE11" s="219"/>
      <c r="AVF11" s="219"/>
      <c r="AVG11" s="219"/>
      <c r="AVH11" s="219"/>
      <c r="AVI11" s="219"/>
      <c r="AVJ11" s="219"/>
      <c r="AVK11" s="219"/>
      <c r="AVL11" s="219"/>
      <c r="AVM11" s="219"/>
      <c r="AVN11" s="219"/>
      <c r="AVO11" s="219"/>
      <c r="AVP11" s="219"/>
      <c r="AVQ11" s="219"/>
      <c r="AVR11" s="219" t="s">
        <v>134</v>
      </c>
      <c r="AVS11" s="219"/>
      <c r="AVT11" s="219"/>
      <c r="AVU11" s="219"/>
      <c r="AVV11" s="219"/>
      <c r="AVW11" s="219"/>
      <c r="AVX11" s="219"/>
      <c r="AVY11" s="219"/>
      <c r="AVZ11" s="219"/>
      <c r="AWA11" s="219"/>
      <c r="AWB11" s="219"/>
      <c r="AWC11" s="219"/>
      <c r="AWD11" s="219"/>
      <c r="AWE11" s="219"/>
      <c r="AWF11" s="219"/>
      <c r="AWG11" s="219"/>
      <c r="AWH11" s="219"/>
      <c r="AWI11" s="219"/>
      <c r="AWJ11" s="219"/>
      <c r="AWK11" s="219"/>
      <c r="AWL11" s="219"/>
      <c r="AWM11" s="219"/>
      <c r="AWN11" s="219"/>
      <c r="AWO11" s="219"/>
      <c r="AWP11" s="219"/>
      <c r="AWQ11" s="219"/>
      <c r="AWR11" s="219"/>
      <c r="AWS11" s="219"/>
      <c r="AWT11" s="219"/>
      <c r="AWU11" s="219"/>
      <c r="AWV11" s="219"/>
      <c r="AWW11" s="219"/>
      <c r="AWX11" s="219"/>
      <c r="AWY11" s="219"/>
      <c r="AWZ11" s="219"/>
      <c r="AXA11" s="219"/>
      <c r="AXB11" s="219"/>
      <c r="AXC11" s="219"/>
      <c r="AXD11" s="219"/>
      <c r="AXE11" s="219"/>
      <c r="AXF11" s="219"/>
      <c r="AXG11" s="219"/>
      <c r="AXH11" s="219"/>
      <c r="AXI11" s="219"/>
      <c r="AXJ11" s="219"/>
      <c r="AXK11" s="219"/>
      <c r="AXL11" s="219"/>
      <c r="AXM11" s="219"/>
      <c r="AXN11" s="219"/>
      <c r="AXO11" s="219"/>
      <c r="AXP11" s="219"/>
      <c r="AXQ11" s="219"/>
      <c r="AXR11" s="219"/>
      <c r="AXS11" s="219"/>
      <c r="AXT11" s="219"/>
      <c r="AXU11" s="219"/>
      <c r="AXV11" s="219"/>
      <c r="AXW11" s="219"/>
      <c r="AXX11" s="219"/>
      <c r="AXY11" s="219"/>
      <c r="AXZ11" s="219" t="s">
        <v>134</v>
      </c>
      <c r="AYA11" s="219"/>
      <c r="AYB11" s="219"/>
      <c r="AYC11" s="219"/>
      <c r="AYD11" s="219"/>
      <c r="AYE11" s="219"/>
      <c r="AYF11" s="219"/>
      <c r="AYG11" s="219"/>
      <c r="AYH11" s="219"/>
      <c r="AYI11" s="219"/>
      <c r="AYJ11" s="219"/>
      <c r="AYK11" s="219"/>
      <c r="AYL11" s="219"/>
      <c r="AYM11" s="219"/>
      <c r="AYN11" s="219"/>
      <c r="AYO11" s="219"/>
      <c r="AYP11" s="219"/>
      <c r="AYQ11" s="219"/>
      <c r="AYR11" s="219"/>
      <c r="AYS11" s="219"/>
      <c r="AYT11" s="219"/>
      <c r="AYU11" s="219"/>
      <c r="AYV11" s="219"/>
      <c r="AYW11" s="219"/>
      <c r="AYX11" s="219"/>
      <c r="AYY11" s="219"/>
      <c r="AYZ11" s="219"/>
      <c r="AZA11" s="219"/>
      <c r="AZB11" s="219"/>
      <c r="AZC11" s="219"/>
      <c r="AZD11" s="219"/>
      <c r="AZE11" s="219"/>
      <c r="AZF11" s="219"/>
      <c r="AZG11" s="219"/>
      <c r="AZH11" s="219"/>
      <c r="AZI11" s="219"/>
      <c r="AZJ11" s="219"/>
      <c r="AZK11" s="219"/>
      <c r="AZL11" s="219"/>
      <c r="AZM11" s="219"/>
      <c r="AZN11" s="219"/>
      <c r="AZO11" s="219"/>
      <c r="AZP11" s="219"/>
      <c r="AZQ11" s="219"/>
      <c r="AZR11" s="219"/>
      <c r="AZS11" s="219"/>
      <c r="AZT11" s="219"/>
      <c r="AZU11" s="219"/>
      <c r="AZV11" s="219"/>
      <c r="AZW11" s="219"/>
      <c r="AZX11" s="219"/>
      <c r="AZY11" s="219"/>
      <c r="AZZ11" s="219"/>
      <c r="BAA11" s="219"/>
      <c r="BAB11" s="219"/>
      <c r="BAC11" s="219"/>
      <c r="BAD11" s="219"/>
      <c r="BAE11" s="219"/>
      <c r="BAF11" s="219"/>
      <c r="BAG11" s="219"/>
      <c r="BAH11" s="219" t="s">
        <v>132</v>
      </c>
      <c r="BAI11" s="219"/>
      <c r="BAJ11" s="219"/>
      <c r="BAK11" s="219"/>
      <c r="BAL11" s="219"/>
      <c r="BAM11" s="219"/>
      <c r="BAN11" s="219"/>
      <c r="BAO11" s="219"/>
      <c r="BAP11" s="219"/>
      <c r="BAQ11" s="219"/>
      <c r="BAR11" s="219"/>
      <c r="BAS11" s="219"/>
      <c r="BAT11" s="219"/>
      <c r="BAU11" s="219"/>
      <c r="BAV11" s="219"/>
      <c r="BAW11" s="219"/>
      <c r="BAX11" s="219"/>
      <c r="BAY11" s="219"/>
      <c r="BAZ11" s="219"/>
      <c r="BBA11" s="219"/>
      <c r="BBB11" s="219"/>
      <c r="BBC11" s="219"/>
      <c r="BBD11" s="219"/>
      <c r="BBE11" s="219"/>
      <c r="BBF11" s="219"/>
      <c r="BBG11" s="219"/>
      <c r="BBH11" s="219"/>
      <c r="BBI11" s="219"/>
      <c r="BBJ11" s="219"/>
      <c r="BBK11" s="219"/>
      <c r="BBL11" s="219"/>
      <c r="BBM11" s="219"/>
      <c r="BBN11" s="219"/>
      <c r="BBO11" s="219"/>
      <c r="BBP11" s="219"/>
      <c r="BBQ11" s="219"/>
      <c r="BBR11" s="219"/>
      <c r="BBS11" s="219"/>
      <c r="BBT11" s="219"/>
      <c r="BBU11" s="219"/>
      <c r="BBV11" s="219"/>
      <c r="BBW11" s="219"/>
      <c r="BBX11" s="219"/>
      <c r="BBY11" s="219"/>
      <c r="BBZ11" s="219"/>
      <c r="BCA11" s="219"/>
      <c r="BCB11" s="219"/>
      <c r="BCC11" s="219"/>
      <c r="BCD11" s="219"/>
      <c r="BCE11" s="219"/>
      <c r="BCF11" s="219"/>
      <c r="BCG11" s="219"/>
      <c r="BCH11" s="219"/>
      <c r="BCI11" s="219"/>
      <c r="BCJ11" s="219"/>
      <c r="BCK11" s="219"/>
      <c r="BCL11" s="219"/>
      <c r="BCM11" s="219"/>
      <c r="BCN11" s="219"/>
      <c r="BCO11" s="219"/>
      <c r="BCP11" s="219" t="s">
        <v>132</v>
      </c>
      <c r="BCQ11" s="219"/>
      <c r="BCR11" s="219"/>
      <c r="BCS11" s="219"/>
      <c r="BCT11" s="219"/>
      <c r="BCU11" s="219"/>
      <c r="BCV11" s="219"/>
      <c r="BCW11" s="219"/>
      <c r="BCX11" s="219"/>
      <c r="BCY11" s="219"/>
      <c r="BCZ11" s="219"/>
      <c r="BDA11" s="219"/>
      <c r="BDB11" s="219"/>
      <c r="BDC11" s="219"/>
      <c r="BDD11" s="219"/>
      <c r="BDE11" s="219"/>
      <c r="BDF11" s="219"/>
      <c r="BDG11" s="219"/>
      <c r="BDH11" s="219"/>
      <c r="BDI11" s="219"/>
      <c r="BDJ11" s="219"/>
      <c r="BDK11" s="219"/>
      <c r="BDL11" s="219"/>
      <c r="BDM11" s="219"/>
      <c r="BDN11" s="219"/>
      <c r="BDO11" s="219"/>
      <c r="BDP11" s="219"/>
      <c r="BDQ11" s="219"/>
      <c r="BDR11" s="219"/>
      <c r="BDS11" s="219"/>
      <c r="BDT11" s="219"/>
      <c r="BDU11" s="219"/>
      <c r="BDV11" s="219"/>
      <c r="BDW11" s="219"/>
      <c r="BDX11" s="219"/>
      <c r="BDY11" s="219"/>
      <c r="BDZ11" s="219"/>
      <c r="BEA11" s="219"/>
      <c r="BEB11" s="219"/>
      <c r="BEC11" s="219"/>
      <c r="BED11" s="219"/>
      <c r="BEE11" s="219"/>
      <c r="BEF11" s="219"/>
      <c r="BEG11" s="219"/>
      <c r="BEH11" s="219"/>
      <c r="BEI11" s="219"/>
      <c r="BEJ11" s="219"/>
      <c r="BEK11" s="219"/>
      <c r="BEL11" s="219"/>
      <c r="BEM11" s="219"/>
      <c r="BEN11" s="219"/>
      <c r="BEO11" s="219"/>
      <c r="BEP11" s="219"/>
      <c r="BEQ11" s="219"/>
      <c r="BER11" s="219"/>
      <c r="BES11" s="219"/>
      <c r="BET11" s="219"/>
      <c r="BEU11" s="219"/>
      <c r="BEV11" s="219"/>
      <c r="BEW11" s="219"/>
      <c r="BEX11" s="219" t="s">
        <v>131</v>
      </c>
      <c r="BEY11" s="219"/>
      <c r="BEZ11" s="219"/>
      <c r="BFA11" s="219"/>
      <c r="BFB11" s="219"/>
      <c r="BFC11" s="219"/>
      <c r="BFD11" s="219"/>
      <c r="BFE11" s="219"/>
      <c r="BFF11" s="219"/>
      <c r="BFG11" s="219"/>
      <c r="BFH11" s="219"/>
      <c r="BFI11" s="219"/>
      <c r="BFJ11" s="219"/>
      <c r="BFK11" s="219"/>
      <c r="BFL11" s="219"/>
      <c r="BFM11" s="219"/>
      <c r="BFN11" s="219"/>
      <c r="BFO11" s="219"/>
      <c r="BFP11" s="219"/>
      <c r="BFQ11" s="219"/>
      <c r="BFR11" s="219"/>
      <c r="BFS11" s="219"/>
      <c r="BFT11" s="219"/>
      <c r="BFU11" s="219"/>
      <c r="BFV11" s="219"/>
      <c r="BFW11" s="219"/>
      <c r="BFX11" s="219"/>
      <c r="BFY11" s="219"/>
      <c r="BFZ11" s="219"/>
      <c r="BGA11" s="219"/>
      <c r="BGB11" s="219"/>
      <c r="BGC11" s="219"/>
      <c r="BGD11" s="219"/>
      <c r="BGE11" s="219"/>
      <c r="BGF11" s="219"/>
      <c r="BGG11" s="219"/>
      <c r="BGH11" s="219"/>
      <c r="BGI11" s="219"/>
      <c r="BGJ11" s="219"/>
      <c r="BGK11" s="219"/>
      <c r="BGL11" s="219"/>
      <c r="BGM11" s="219"/>
      <c r="BGN11" s="219"/>
      <c r="BGO11" s="219"/>
      <c r="BGP11" s="219"/>
      <c r="BGQ11" s="219"/>
      <c r="BGR11" s="219"/>
      <c r="BGS11" s="219"/>
      <c r="BGT11" s="219"/>
      <c r="BGU11" s="219"/>
      <c r="BGV11" s="219"/>
      <c r="BGW11" s="219"/>
      <c r="BGX11" s="219"/>
      <c r="BGY11" s="219"/>
      <c r="BGZ11" s="219"/>
      <c r="BHA11" s="219"/>
      <c r="BHB11" s="219"/>
      <c r="BHC11" s="219"/>
      <c r="BHD11" s="219"/>
      <c r="BHE11" s="219"/>
      <c r="BHF11" s="219" t="s">
        <v>131</v>
      </c>
      <c r="BHG11" s="219"/>
      <c r="BHH11" s="219"/>
      <c r="BHI11" s="219"/>
      <c r="BHJ11" s="219"/>
      <c r="BHK11" s="219"/>
      <c r="BHL11" s="219"/>
      <c r="BHM11" s="219"/>
      <c r="BHN11" s="219"/>
      <c r="BHO11" s="219"/>
      <c r="BHP11" s="219"/>
      <c r="BHQ11" s="219"/>
      <c r="BHR11" s="219"/>
      <c r="BHS11" s="219"/>
      <c r="BHT11" s="219"/>
      <c r="BHU11" s="219"/>
      <c r="BHV11" s="219"/>
      <c r="BHW11" s="219"/>
      <c r="BHX11" s="219"/>
      <c r="BHY11" s="219"/>
      <c r="BHZ11" s="219"/>
      <c r="BIA11" s="219"/>
      <c r="BIB11" s="219"/>
      <c r="BIC11" s="219"/>
      <c r="BID11" s="219"/>
      <c r="BIE11" s="219"/>
      <c r="BIF11" s="219"/>
      <c r="BIG11" s="219"/>
      <c r="BIH11" s="219"/>
      <c r="BII11" s="219"/>
      <c r="BIJ11" s="219"/>
      <c r="BIK11" s="219"/>
      <c r="BIL11" s="219"/>
      <c r="BIM11" s="219"/>
      <c r="BIN11" s="219"/>
      <c r="BIO11" s="219"/>
      <c r="BIP11" s="219"/>
      <c r="BIQ11" s="219"/>
      <c r="BIR11" s="219"/>
      <c r="BIS11" s="219"/>
      <c r="BIT11" s="219"/>
      <c r="BIU11" s="219"/>
      <c r="BIV11" s="219"/>
      <c r="BIW11" s="219"/>
      <c r="BIX11" s="219"/>
      <c r="BIY11" s="219"/>
      <c r="BIZ11" s="219"/>
      <c r="BJA11" s="219"/>
      <c r="BJB11" s="219"/>
      <c r="BJC11" s="219"/>
      <c r="BJD11" s="219"/>
      <c r="BJE11" s="219"/>
      <c r="BJF11" s="219"/>
      <c r="BJG11" s="219"/>
      <c r="BJH11" s="219"/>
      <c r="BJI11" s="219"/>
      <c r="BJJ11" s="219"/>
      <c r="BJK11" s="219"/>
      <c r="BJL11" s="219"/>
      <c r="BJM11" s="219"/>
      <c r="BJN11" s="219" t="s">
        <v>241</v>
      </c>
      <c r="BJO11" s="219"/>
      <c r="BJP11" s="219"/>
      <c r="BJQ11" s="219"/>
      <c r="BJR11" s="219"/>
      <c r="BJS11" s="219"/>
      <c r="BJT11" s="219"/>
      <c r="BJU11" s="219"/>
      <c r="BJV11" s="219"/>
      <c r="BJW11" s="219"/>
      <c r="BJX11" s="219"/>
      <c r="BJY11" s="219"/>
      <c r="BJZ11" s="219"/>
      <c r="BKA11" s="219"/>
      <c r="BKB11" s="219"/>
      <c r="BKC11" s="219"/>
      <c r="BKD11" s="219"/>
      <c r="BKE11" s="219"/>
      <c r="BKF11" s="219"/>
      <c r="BKG11" s="219"/>
      <c r="BKH11" s="219"/>
      <c r="BKI11" s="219"/>
      <c r="BKJ11" s="219"/>
      <c r="BKK11" s="219"/>
      <c r="BKL11" s="219"/>
      <c r="BKM11" s="219"/>
      <c r="BKN11" s="219"/>
      <c r="BKO11" s="219"/>
      <c r="BKP11" s="219"/>
      <c r="BKQ11" s="219"/>
      <c r="BKR11" s="219"/>
      <c r="BKS11" s="219"/>
      <c r="BKT11" s="219"/>
      <c r="BKU11" s="219"/>
      <c r="BKV11" s="219"/>
      <c r="BKW11" s="219"/>
      <c r="BKX11" s="219"/>
      <c r="BKY11" s="219"/>
      <c r="BKZ11" s="219"/>
      <c r="BLA11" s="219"/>
      <c r="BLB11" s="219"/>
      <c r="BLC11" s="219"/>
      <c r="BLD11" s="219"/>
      <c r="BLE11" s="219"/>
      <c r="BLF11" s="219"/>
      <c r="BLG11" s="219"/>
      <c r="BLH11" s="219"/>
      <c r="BLI11" s="219"/>
      <c r="BLJ11" s="219"/>
      <c r="BLK11" s="219"/>
      <c r="BLL11" s="219"/>
      <c r="BLM11" s="219"/>
      <c r="BLN11" s="219"/>
      <c r="BLO11" s="219"/>
      <c r="BLP11" s="219"/>
      <c r="BLQ11" s="219"/>
      <c r="BLR11" s="219"/>
      <c r="BLS11" s="219"/>
      <c r="BLT11" s="219"/>
      <c r="BLU11" s="219"/>
    </row>
    <row r="12" spans="1:1685" ht="15.75" customHeight="1" thickBot="1" x14ac:dyDescent="0.3">
      <c r="B12" s="81"/>
      <c r="C12" s="241"/>
      <c r="D12" s="241"/>
      <c r="E12" s="241"/>
      <c r="F12" s="239" t="s">
        <v>47</v>
      </c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39"/>
      <c r="AH12" s="239"/>
      <c r="AI12" s="239"/>
      <c r="AJ12" s="239"/>
      <c r="AK12" s="239"/>
      <c r="AL12" s="239"/>
      <c r="AM12" s="239"/>
      <c r="AN12" s="239"/>
      <c r="AO12" s="239"/>
      <c r="AP12" s="239"/>
      <c r="AQ12" s="239"/>
      <c r="AR12" s="239"/>
      <c r="AS12" s="239"/>
      <c r="AT12" s="239"/>
      <c r="AU12" s="239"/>
      <c r="AV12" s="239"/>
      <c r="AW12" s="239"/>
      <c r="AX12" s="239"/>
      <c r="AY12" s="239"/>
      <c r="AZ12" s="239"/>
      <c r="BA12" s="239"/>
      <c r="BB12" s="239"/>
      <c r="BC12" s="239"/>
      <c r="BD12" s="239"/>
      <c r="BE12" s="239"/>
      <c r="BF12" s="239"/>
      <c r="BG12" s="239"/>
      <c r="BH12" s="239"/>
      <c r="BI12" s="239"/>
      <c r="BJ12" s="239"/>
      <c r="BK12" s="239"/>
      <c r="BL12" s="239"/>
      <c r="BM12" s="239"/>
      <c r="BN12" s="239" t="s">
        <v>46</v>
      </c>
      <c r="BO12" s="239"/>
      <c r="BP12" s="239"/>
      <c r="BQ12" s="239"/>
      <c r="BR12" s="239"/>
      <c r="BS12" s="239"/>
      <c r="BT12" s="239"/>
      <c r="BU12" s="239"/>
      <c r="BV12" s="239"/>
      <c r="BW12" s="239"/>
      <c r="BX12" s="239"/>
      <c r="BY12" s="239"/>
      <c r="BZ12" s="239"/>
      <c r="CA12" s="239"/>
      <c r="CB12" s="239"/>
      <c r="CC12" s="239"/>
      <c r="CD12" s="239"/>
      <c r="CE12" s="239"/>
      <c r="CF12" s="239"/>
      <c r="CG12" s="239"/>
      <c r="CH12" s="239"/>
      <c r="CI12" s="239"/>
      <c r="CJ12" s="239"/>
      <c r="CK12" s="239"/>
      <c r="CL12" s="239"/>
      <c r="CM12" s="239"/>
      <c r="CN12" s="239"/>
      <c r="CO12" s="239"/>
      <c r="CP12" s="239"/>
      <c r="CQ12" s="239"/>
      <c r="CR12" s="239"/>
      <c r="CS12" s="239"/>
      <c r="CT12" s="239"/>
      <c r="CU12" s="239"/>
      <c r="CV12" s="239"/>
      <c r="CW12" s="239"/>
      <c r="CX12" s="239"/>
      <c r="CY12" s="239"/>
      <c r="CZ12" s="239"/>
      <c r="DA12" s="239"/>
      <c r="DB12" s="239"/>
      <c r="DC12" s="239"/>
      <c r="DD12" s="239"/>
      <c r="DE12" s="239"/>
      <c r="DF12" s="239"/>
      <c r="DG12" s="239"/>
      <c r="DH12" s="239"/>
      <c r="DI12" s="239"/>
      <c r="DJ12" s="239"/>
      <c r="DK12" s="239"/>
      <c r="DL12" s="239"/>
      <c r="DM12" s="239"/>
      <c r="DN12" s="239"/>
      <c r="DO12" s="239"/>
      <c r="DP12" s="239"/>
      <c r="DQ12" s="239"/>
      <c r="DR12" s="239"/>
      <c r="DS12" s="239"/>
      <c r="DT12" s="239"/>
      <c r="DU12" s="239"/>
      <c r="DV12" s="220" t="s">
        <v>47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20" t="s">
        <v>46</v>
      </c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 t="s">
        <v>46</v>
      </c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 t="s">
        <v>47</v>
      </c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 t="s">
        <v>46</v>
      </c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 t="s">
        <v>47</v>
      </c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 t="s">
        <v>46</v>
      </c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 t="s">
        <v>47</v>
      </c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 t="s">
        <v>46</v>
      </c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 t="s">
        <v>47</v>
      </c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 t="s">
        <v>46</v>
      </c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 t="s">
        <v>47</v>
      </c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 t="s">
        <v>46</v>
      </c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 t="s">
        <v>46</v>
      </c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 t="s">
        <v>47</v>
      </c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 t="s">
        <v>46</v>
      </c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 t="s">
        <v>47</v>
      </c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 t="s">
        <v>46</v>
      </c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 t="s">
        <v>46</v>
      </c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 t="s">
        <v>47</v>
      </c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 t="s">
        <v>46</v>
      </c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 t="s">
        <v>47</v>
      </c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 t="s">
        <v>46</v>
      </c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 t="s">
        <v>47</v>
      </c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220" t="s">
        <v>46</v>
      </c>
      <c r="BHG12" s="220"/>
      <c r="BHH12" s="220"/>
      <c r="BHI12" s="220"/>
      <c r="BHJ12" s="220"/>
      <c r="BHK12" s="220"/>
      <c r="BHL12" s="220"/>
      <c r="BHM12" s="220"/>
      <c r="BHN12" s="220"/>
      <c r="BHO12" s="220"/>
      <c r="BHP12" s="220"/>
      <c r="BHQ12" s="220"/>
      <c r="BHR12" s="220"/>
      <c r="BHS12" s="220"/>
      <c r="BHT12" s="220"/>
      <c r="BHU12" s="220"/>
      <c r="BHV12" s="220"/>
      <c r="BHW12" s="220"/>
      <c r="BHX12" s="220"/>
      <c r="BHY12" s="220"/>
      <c r="BHZ12" s="220"/>
      <c r="BIA12" s="220"/>
      <c r="BIB12" s="220"/>
      <c r="BIC12" s="220"/>
      <c r="BID12" s="220"/>
      <c r="BIE12" s="220"/>
      <c r="BIF12" s="220"/>
      <c r="BIG12" s="220"/>
      <c r="BIH12" s="220"/>
      <c r="BII12" s="220"/>
      <c r="BIJ12" s="220"/>
      <c r="BIK12" s="220"/>
      <c r="BIL12" s="220"/>
      <c r="BIM12" s="220"/>
      <c r="BIN12" s="220"/>
      <c r="BIO12" s="220"/>
      <c r="BIP12" s="220"/>
      <c r="BIQ12" s="220"/>
      <c r="BIR12" s="220"/>
      <c r="BIS12" s="220"/>
      <c r="BIT12" s="220"/>
      <c r="BIU12" s="220"/>
      <c r="BIV12" s="220"/>
      <c r="BIW12" s="220"/>
      <c r="BIX12" s="220"/>
      <c r="BIY12" s="220"/>
      <c r="BIZ12" s="220"/>
      <c r="BJA12" s="220"/>
      <c r="BJB12" s="220"/>
      <c r="BJC12" s="220"/>
      <c r="BJD12" s="220"/>
      <c r="BJE12" s="220"/>
      <c r="BJF12" s="220"/>
      <c r="BJG12" s="220"/>
      <c r="BJH12" s="220"/>
      <c r="BJI12" s="220"/>
      <c r="BJJ12" s="220"/>
      <c r="BJK12" s="220"/>
      <c r="BJL12" s="220"/>
      <c r="BJM12" s="220"/>
      <c r="BJN12" s="220" t="s">
        <v>46</v>
      </c>
      <c r="BJO12" s="220"/>
      <c r="BJP12" s="220"/>
      <c r="BJQ12" s="220"/>
      <c r="BJR12" s="220"/>
      <c r="BJS12" s="220"/>
      <c r="BJT12" s="220"/>
      <c r="BJU12" s="220"/>
      <c r="BJV12" s="220"/>
      <c r="BJW12" s="220"/>
      <c r="BJX12" s="220"/>
      <c r="BJY12" s="220"/>
      <c r="BJZ12" s="220"/>
      <c r="BKA12" s="220"/>
      <c r="BKB12" s="220"/>
      <c r="BKC12" s="220"/>
      <c r="BKD12" s="220"/>
      <c r="BKE12" s="220"/>
      <c r="BKF12" s="220"/>
      <c r="BKG12" s="220"/>
      <c r="BKH12" s="220"/>
      <c r="BKI12" s="220"/>
      <c r="BKJ12" s="220"/>
      <c r="BKK12" s="220"/>
      <c r="BKL12" s="220"/>
      <c r="BKM12" s="220"/>
      <c r="BKN12" s="220"/>
      <c r="BKO12" s="220"/>
      <c r="BKP12" s="220"/>
      <c r="BKQ12" s="220"/>
      <c r="BKR12" s="220"/>
      <c r="BKS12" s="220"/>
      <c r="BKT12" s="220"/>
      <c r="BKU12" s="220"/>
      <c r="BKV12" s="220"/>
      <c r="BKW12" s="220"/>
      <c r="BKX12" s="220"/>
      <c r="BKY12" s="220"/>
      <c r="BKZ12" s="220"/>
      <c r="BLA12" s="220"/>
      <c r="BLB12" s="220"/>
      <c r="BLC12" s="220"/>
      <c r="BLD12" s="220"/>
      <c r="BLE12" s="220"/>
      <c r="BLF12" s="220"/>
      <c r="BLG12" s="220"/>
      <c r="BLH12" s="220"/>
      <c r="BLI12" s="220"/>
      <c r="BLJ12" s="220"/>
      <c r="BLK12" s="220"/>
      <c r="BLL12" s="220"/>
      <c r="BLM12" s="220"/>
      <c r="BLN12" s="220"/>
      <c r="BLO12" s="220"/>
      <c r="BLP12" s="220"/>
      <c r="BLQ12" s="220"/>
      <c r="BLR12" s="220"/>
      <c r="BLS12" s="220"/>
      <c r="BLT12" s="220"/>
      <c r="BLU12" s="220"/>
    </row>
    <row r="13" spans="1:1685" ht="42.75" customHeight="1" thickBot="1" x14ac:dyDescent="0.3">
      <c r="B13" s="53"/>
      <c r="C13" s="245" t="s">
        <v>7</v>
      </c>
      <c r="D13" s="127"/>
      <c r="E13" s="247" t="s">
        <v>39</v>
      </c>
      <c r="F13" s="221" t="s">
        <v>8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3"/>
      <c r="BN13" s="221" t="s">
        <v>27</v>
      </c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3"/>
      <c r="DV13" s="221" t="s">
        <v>18</v>
      </c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  <c r="EW13" s="222"/>
      <c r="EX13" s="222"/>
      <c r="EY13" s="222"/>
      <c r="EZ13" s="222"/>
      <c r="FA13" s="222"/>
      <c r="FB13" s="222"/>
      <c r="FC13" s="222"/>
      <c r="FD13" s="222"/>
      <c r="FE13" s="222"/>
      <c r="FF13" s="222"/>
      <c r="FG13" s="222"/>
      <c r="FH13" s="222"/>
      <c r="FI13" s="222"/>
      <c r="FJ13" s="222"/>
      <c r="FK13" s="222"/>
      <c r="FL13" s="222"/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22"/>
      <c r="FX13" s="222"/>
      <c r="FY13" s="222"/>
      <c r="FZ13" s="222"/>
      <c r="GA13" s="222"/>
      <c r="GB13" s="222"/>
      <c r="GC13" s="223"/>
      <c r="GD13" s="221" t="s">
        <v>50</v>
      </c>
      <c r="GE13" s="222"/>
      <c r="GF13" s="222"/>
      <c r="GG13" s="222"/>
      <c r="GH13" s="222"/>
      <c r="GI13" s="222"/>
      <c r="GJ13" s="222"/>
      <c r="GK13" s="222"/>
      <c r="GL13" s="222"/>
      <c r="GM13" s="222"/>
      <c r="GN13" s="222"/>
      <c r="GO13" s="222"/>
      <c r="GP13" s="222"/>
      <c r="GQ13" s="222"/>
      <c r="GR13" s="222"/>
      <c r="GS13" s="222"/>
      <c r="GT13" s="222"/>
      <c r="GU13" s="222"/>
      <c r="GV13" s="222"/>
      <c r="GW13" s="222"/>
      <c r="GX13" s="222"/>
      <c r="GY13" s="222"/>
      <c r="GZ13" s="222"/>
      <c r="HA13" s="222"/>
      <c r="HB13" s="222"/>
      <c r="HC13" s="222"/>
      <c r="HD13" s="222"/>
      <c r="HE13" s="222"/>
      <c r="HF13" s="222"/>
      <c r="HG13" s="222"/>
      <c r="HH13" s="222"/>
      <c r="HI13" s="222"/>
      <c r="HJ13" s="222"/>
      <c r="HK13" s="222"/>
      <c r="HL13" s="222"/>
      <c r="HM13" s="222"/>
      <c r="HN13" s="222"/>
      <c r="HO13" s="222"/>
      <c r="HP13" s="222"/>
      <c r="HQ13" s="222"/>
      <c r="HR13" s="222"/>
      <c r="HS13" s="222"/>
      <c r="HT13" s="222"/>
      <c r="HU13" s="222"/>
      <c r="HV13" s="222"/>
      <c r="HW13" s="222"/>
      <c r="HX13" s="222"/>
      <c r="HY13" s="222"/>
      <c r="HZ13" s="222"/>
      <c r="IA13" s="222"/>
      <c r="IB13" s="222"/>
      <c r="IC13" s="222"/>
      <c r="ID13" s="222"/>
      <c r="IE13" s="222"/>
      <c r="IF13" s="222"/>
      <c r="IG13" s="222"/>
      <c r="IH13" s="222"/>
      <c r="II13" s="222"/>
      <c r="IJ13" s="222"/>
      <c r="IK13" s="223"/>
      <c r="IL13" s="221" t="s">
        <v>49</v>
      </c>
      <c r="IM13" s="222"/>
      <c r="IN13" s="222"/>
      <c r="IO13" s="222"/>
      <c r="IP13" s="222"/>
      <c r="IQ13" s="222"/>
      <c r="IR13" s="222"/>
      <c r="IS13" s="222"/>
      <c r="IT13" s="222"/>
      <c r="IU13" s="222"/>
      <c r="IV13" s="222"/>
      <c r="IW13" s="222"/>
      <c r="IX13" s="222"/>
      <c r="IY13" s="222"/>
      <c r="IZ13" s="222"/>
      <c r="JA13" s="222"/>
      <c r="JB13" s="222"/>
      <c r="JC13" s="222"/>
      <c r="JD13" s="222"/>
      <c r="JE13" s="222"/>
      <c r="JF13" s="222"/>
      <c r="JG13" s="222"/>
      <c r="JH13" s="222"/>
      <c r="JI13" s="222"/>
      <c r="JJ13" s="222"/>
      <c r="JK13" s="222"/>
      <c r="JL13" s="222"/>
      <c r="JM13" s="222"/>
      <c r="JN13" s="222"/>
      <c r="JO13" s="222"/>
      <c r="JP13" s="222"/>
      <c r="JQ13" s="222"/>
      <c r="JR13" s="222"/>
      <c r="JS13" s="222"/>
      <c r="JT13" s="222"/>
      <c r="JU13" s="222"/>
      <c r="JV13" s="222"/>
      <c r="JW13" s="222"/>
      <c r="JX13" s="222"/>
      <c r="JY13" s="222"/>
      <c r="JZ13" s="222"/>
      <c r="KA13" s="222"/>
      <c r="KB13" s="222"/>
      <c r="KC13" s="222"/>
      <c r="KD13" s="222"/>
      <c r="KE13" s="222"/>
      <c r="KF13" s="222"/>
      <c r="KG13" s="222"/>
      <c r="KH13" s="222"/>
      <c r="KI13" s="222"/>
      <c r="KJ13" s="222"/>
      <c r="KK13" s="222"/>
      <c r="KL13" s="222"/>
      <c r="KM13" s="222"/>
      <c r="KN13" s="222"/>
      <c r="KO13" s="222"/>
      <c r="KP13" s="222"/>
      <c r="KQ13" s="222"/>
      <c r="KR13" s="222"/>
      <c r="KS13" s="223"/>
      <c r="KT13" s="221" t="s">
        <v>48</v>
      </c>
      <c r="KU13" s="222"/>
      <c r="KV13" s="222"/>
      <c r="KW13" s="222"/>
      <c r="KX13" s="222"/>
      <c r="KY13" s="222"/>
      <c r="KZ13" s="222"/>
      <c r="LA13" s="222"/>
      <c r="LB13" s="222"/>
      <c r="LC13" s="222"/>
      <c r="LD13" s="222"/>
      <c r="LE13" s="222"/>
      <c r="LF13" s="222"/>
      <c r="LG13" s="222"/>
      <c r="LH13" s="222"/>
      <c r="LI13" s="222"/>
      <c r="LJ13" s="222"/>
      <c r="LK13" s="222"/>
      <c r="LL13" s="222"/>
      <c r="LM13" s="222"/>
      <c r="LN13" s="222"/>
      <c r="LO13" s="222"/>
      <c r="LP13" s="222"/>
      <c r="LQ13" s="222"/>
      <c r="LR13" s="222"/>
      <c r="LS13" s="222"/>
      <c r="LT13" s="222"/>
      <c r="LU13" s="222"/>
      <c r="LV13" s="222"/>
      <c r="LW13" s="222"/>
      <c r="LX13" s="222"/>
      <c r="LY13" s="222"/>
      <c r="LZ13" s="222"/>
      <c r="MA13" s="222"/>
      <c r="MB13" s="222"/>
      <c r="MC13" s="222"/>
      <c r="MD13" s="222"/>
      <c r="ME13" s="222"/>
      <c r="MF13" s="222"/>
      <c r="MG13" s="222"/>
      <c r="MH13" s="222"/>
      <c r="MI13" s="222"/>
      <c r="MJ13" s="222"/>
      <c r="MK13" s="222"/>
      <c r="ML13" s="222"/>
      <c r="MM13" s="222"/>
      <c r="MN13" s="222"/>
      <c r="MO13" s="222"/>
      <c r="MP13" s="222"/>
      <c r="MQ13" s="222"/>
      <c r="MR13" s="222"/>
      <c r="MS13" s="222"/>
      <c r="MT13" s="222"/>
      <c r="MU13" s="222"/>
      <c r="MV13" s="222"/>
      <c r="MW13" s="222"/>
      <c r="MX13" s="222"/>
      <c r="MY13" s="222"/>
      <c r="MZ13" s="222"/>
      <c r="NA13" s="223"/>
      <c r="NB13" s="221" t="s">
        <v>51</v>
      </c>
      <c r="NC13" s="222"/>
      <c r="ND13" s="222"/>
      <c r="NE13" s="222"/>
      <c r="NF13" s="222"/>
      <c r="NG13" s="222"/>
      <c r="NH13" s="222"/>
      <c r="NI13" s="222"/>
      <c r="NJ13" s="222"/>
      <c r="NK13" s="222"/>
      <c r="NL13" s="222"/>
      <c r="NM13" s="222"/>
      <c r="NN13" s="222"/>
      <c r="NO13" s="222"/>
      <c r="NP13" s="222"/>
      <c r="NQ13" s="222"/>
      <c r="NR13" s="222"/>
      <c r="NS13" s="222"/>
      <c r="NT13" s="222"/>
      <c r="NU13" s="222"/>
      <c r="NV13" s="222"/>
      <c r="NW13" s="222"/>
      <c r="NX13" s="222"/>
      <c r="NY13" s="222"/>
      <c r="NZ13" s="222"/>
      <c r="OA13" s="222"/>
      <c r="OB13" s="222"/>
      <c r="OC13" s="222"/>
      <c r="OD13" s="222"/>
      <c r="OE13" s="222"/>
      <c r="OF13" s="222"/>
      <c r="OG13" s="222"/>
      <c r="OH13" s="222"/>
      <c r="OI13" s="222"/>
      <c r="OJ13" s="222"/>
      <c r="OK13" s="222"/>
      <c r="OL13" s="222"/>
      <c r="OM13" s="222"/>
      <c r="ON13" s="222"/>
      <c r="OO13" s="222"/>
      <c r="OP13" s="222"/>
      <c r="OQ13" s="222"/>
      <c r="OR13" s="222"/>
      <c r="OS13" s="222"/>
      <c r="OT13" s="222"/>
      <c r="OU13" s="222"/>
      <c r="OV13" s="222"/>
      <c r="OW13" s="222"/>
      <c r="OX13" s="222"/>
      <c r="OY13" s="222"/>
      <c r="OZ13" s="222"/>
      <c r="PA13" s="222"/>
      <c r="PB13" s="222"/>
      <c r="PC13" s="222"/>
      <c r="PD13" s="222"/>
      <c r="PE13" s="222"/>
      <c r="PF13" s="222"/>
      <c r="PG13" s="222"/>
      <c r="PH13" s="222"/>
      <c r="PI13" s="223"/>
      <c r="PJ13" s="221" t="s">
        <v>57</v>
      </c>
      <c r="PK13" s="222"/>
      <c r="PL13" s="222"/>
      <c r="PM13" s="222"/>
      <c r="PN13" s="222"/>
      <c r="PO13" s="222"/>
      <c r="PP13" s="222"/>
      <c r="PQ13" s="222"/>
      <c r="PR13" s="222"/>
      <c r="PS13" s="222"/>
      <c r="PT13" s="222"/>
      <c r="PU13" s="222"/>
      <c r="PV13" s="222"/>
      <c r="PW13" s="222"/>
      <c r="PX13" s="222"/>
      <c r="PY13" s="222"/>
      <c r="PZ13" s="222"/>
      <c r="QA13" s="222"/>
      <c r="QB13" s="222"/>
      <c r="QC13" s="222"/>
      <c r="QD13" s="222"/>
      <c r="QE13" s="222"/>
      <c r="QF13" s="222"/>
      <c r="QG13" s="222"/>
      <c r="QH13" s="222"/>
      <c r="QI13" s="222"/>
      <c r="QJ13" s="222"/>
      <c r="QK13" s="222"/>
      <c r="QL13" s="222"/>
      <c r="QM13" s="222"/>
      <c r="QN13" s="222"/>
      <c r="QO13" s="222"/>
      <c r="QP13" s="222"/>
      <c r="QQ13" s="222"/>
      <c r="QR13" s="222"/>
      <c r="QS13" s="222"/>
      <c r="QT13" s="222"/>
      <c r="QU13" s="222"/>
      <c r="QV13" s="222"/>
      <c r="QW13" s="222"/>
      <c r="QX13" s="222"/>
      <c r="QY13" s="222"/>
      <c r="QZ13" s="222"/>
      <c r="RA13" s="222"/>
      <c r="RB13" s="222"/>
      <c r="RC13" s="222"/>
      <c r="RD13" s="222"/>
      <c r="RE13" s="222"/>
      <c r="RF13" s="222"/>
      <c r="RG13" s="222"/>
      <c r="RH13" s="222"/>
      <c r="RI13" s="222"/>
      <c r="RJ13" s="222"/>
      <c r="RK13" s="222"/>
      <c r="RL13" s="222"/>
      <c r="RM13" s="222"/>
      <c r="RN13" s="222"/>
      <c r="RO13" s="222"/>
      <c r="RP13" s="222"/>
      <c r="RQ13" s="223"/>
      <c r="RR13" s="221" t="s">
        <v>56</v>
      </c>
      <c r="RS13" s="222"/>
      <c r="RT13" s="222"/>
      <c r="RU13" s="222"/>
      <c r="RV13" s="222"/>
      <c r="RW13" s="222"/>
      <c r="RX13" s="222"/>
      <c r="RY13" s="222"/>
      <c r="RZ13" s="222"/>
      <c r="SA13" s="222"/>
      <c r="SB13" s="222"/>
      <c r="SC13" s="222"/>
      <c r="SD13" s="222"/>
      <c r="SE13" s="222"/>
      <c r="SF13" s="222"/>
      <c r="SG13" s="222"/>
      <c r="SH13" s="222"/>
      <c r="SI13" s="222"/>
      <c r="SJ13" s="222"/>
      <c r="SK13" s="222"/>
      <c r="SL13" s="222"/>
      <c r="SM13" s="222"/>
      <c r="SN13" s="222"/>
      <c r="SO13" s="222"/>
      <c r="SP13" s="222"/>
      <c r="SQ13" s="222"/>
      <c r="SR13" s="222"/>
      <c r="SS13" s="222"/>
      <c r="ST13" s="222"/>
      <c r="SU13" s="222"/>
      <c r="SV13" s="222"/>
      <c r="SW13" s="222"/>
      <c r="SX13" s="222"/>
      <c r="SY13" s="222"/>
      <c r="SZ13" s="222"/>
      <c r="TA13" s="222"/>
      <c r="TB13" s="222"/>
      <c r="TC13" s="222"/>
      <c r="TD13" s="222"/>
      <c r="TE13" s="222"/>
      <c r="TF13" s="222"/>
      <c r="TG13" s="222"/>
      <c r="TH13" s="222"/>
      <c r="TI13" s="222"/>
      <c r="TJ13" s="222"/>
      <c r="TK13" s="222"/>
      <c r="TL13" s="222"/>
      <c r="TM13" s="222"/>
      <c r="TN13" s="222"/>
      <c r="TO13" s="222"/>
      <c r="TP13" s="222"/>
      <c r="TQ13" s="222"/>
      <c r="TR13" s="222"/>
      <c r="TS13" s="222"/>
      <c r="TT13" s="222"/>
      <c r="TU13" s="222"/>
      <c r="TV13" s="222"/>
      <c r="TW13" s="222"/>
      <c r="TX13" s="222"/>
      <c r="TY13" s="223"/>
      <c r="TZ13" s="221" t="s">
        <v>55</v>
      </c>
      <c r="UA13" s="222"/>
      <c r="UB13" s="222"/>
      <c r="UC13" s="222"/>
      <c r="UD13" s="222"/>
      <c r="UE13" s="222"/>
      <c r="UF13" s="222"/>
      <c r="UG13" s="222"/>
      <c r="UH13" s="222"/>
      <c r="UI13" s="222"/>
      <c r="UJ13" s="222"/>
      <c r="UK13" s="222"/>
      <c r="UL13" s="222"/>
      <c r="UM13" s="222"/>
      <c r="UN13" s="222"/>
      <c r="UO13" s="222"/>
      <c r="UP13" s="222"/>
      <c r="UQ13" s="222"/>
      <c r="UR13" s="222"/>
      <c r="US13" s="222"/>
      <c r="UT13" s="222"/>
      <c r="UU13" s="222"/>
      <c r="UV13" s="222"/>
      <c r="UW13" s="222"/>
      <c r="UX13" s="222"/>
      <c r="UY13" s="222"/>
      <c r="UZ13" s="222"/>
      <c r="VA13" s="222"/>
      <c r="VB13" s="222"/>
      <c r="VC13" s="222"/>
      <c r="VD13" s="222"/>
      <c r="VE13" s="222"/>
      <c r="VF13" s="222"/>
      <c r="VG13" s="222"/>
      <c r="VH13" s="222"/>
      <c r="VI13" s="222"/>
      <c r="VJ13" s="222"/>
      <c r="VK13" s="222"/>
      <c r="VL13" s="222"/>
      <c r="VM13" s="222"/>
      <c r="VN13" s="222"/>
      <c r="VO13" s="222"/>
      <c r="VP13" s="222"/>
      <c r="VQ13" s="222"/>
      <c r="VR13" s="222"/>
      <c r="VS13" s="222"/>
      <c r="VT13" s="222"/>
      <c r="VU13" s="222"/>
      <c r="VV13" s="222"/>
      <c r="VW13" s="222"/>
      <c r="VX13" s="222"/>
      <c r="VY13" s="222"/>
      <c r="VZ13" s="222"/>
      <c r="WA13" s="222"/>
      <c r="WB13" s="222"/>
      <c r="WC13" s="222"/>
      <c r="WD13" s="222"/>
      <c r="WE13" s="222"/>
      <c r="WF13" s="222"/>
      <c r="WG13" s="223"/>
      <c r="WH13" s="221" t="s">
        <v>76</v>
      </c>
      <c r="WI13" s="222"/>
      <c r="WJ13" s="222"/>
      <c r="WK13" s="222"/>
      <c r="WL13" s="222"/>
      <c r="WM13" s="222"/>
      <c r="WN13" s="222"/>
      <c r="WO13" s="222"/>
      <c r="WP13" s="222"/>
      <c r="WQ13" s="222"/>
      <c r="WR13" s="222"/>
      <c r="WS13" s="222"/>
      <c r="WT13" s="222"/>
      <c r="WU13" s="222"/>
      <c r="WV13" s="222"/>
      <c r="WW13" s="222"/>
      <c r="WX13" s="222"/>
      <c r="WY13" s="222"/>
      <c r="WZ13" s="222"/>
      <c r="XA13" s="222"/>
      <c r="XB13" s="222"/>
      <c r="XC13" s="222"/>
      <c r="XD13" s="222"/>
      <c r="XE13" s="222"/>
      <c r="XF13" s="222"/>
      <c r="XG13" s="222"/>
      <c r="XH13" s="222"/>
      <c r="XI13" s="222"/>
      <c r="XJ13" s="222"/>
      <c r="XK13" s="222"/>
      <c r="XL13" s="222"/>
      <c r="XM13" s="222"/>
      <c r="XN13" s="222"/>
      <c r="XO13" s="222"/>
      <c r="XP13" s="222"/>
      <c r="XQ13" s="222"/>
      <c r="XR13" s="222"/>
      <c r="XS13" s="222"/>
      <c r="XT13" s="222"/>
      <c r="XU13" s="222"/>
      <c r="XV13" s="222"/>
      <c r="XW13" s="222"/>
      <c r="XX13" s="222"/>
      <c r="XY13" s="222"/>
      <c r="XZ13" s="222"/>
      <c r="YA13" s="222"/>
      <c r="YB13" s="222"/>
      <c r="YC13" s="222"/>
      <c r="YD13" s="222"/>
      <c r="YE13" s="222"/>
      <c r="YF13" s="222"/>
      <c r="YG13" s="222"/>
      <c r="YH13" s="222"/>
      <c r="YI13" s="222"/>
      <c r="YJ13" s="222"/>
      <c r="YK13" s="222"/>
      <c r="YL13" s="222"/>
      <c r="YM13" s="222"/>
      <c r="YN13" s="222"/>
      <c r="YO13" s="223"/>
      <c r="YP13" s="221" t="s">
        <v>54</v>
      </c>
      <c r="YQ13" s="222"/>
      <c r="YR13" s="222"/>
      <c r="YS13" s="222"/>
      <c r="YT13" s="222"/>
      <c r="YU13" s="222"/>
      <c r="YV13" s="222"/>
      <c r="YW13" s="222"/>
      <c r="YX13" s="222"/>
      <c r="YY13" s="222"/>
      <c r="YZ13" s="222"/>
      <c r="ZA13" s="222"/>
      <c r="ZB13" s="222"/>
      <c r="ZC13" s="222"/>
      <c r="ZD13" s="222"/>
      <c r="ZE13" s="222"/>
      <c r="ZF13" s="222"/>
      <c r="ZG13" s="222"/>
      <c r="ZH13" s="222"/>
      <c r="ZI13" s="222"/>
      <c r="ZJ13" s="222"/>
      <c r="ZK13" s="222"/>
      <c r="ZL13" s="222"/>
      <c r="ZM13" s="222"/>
      <c r="ZN13" s="222"/>
      <c r="ZO13" s="222"/>
      <c r="ZP13" s="222"/>
      <c r="ZQ13" s="222"/>
      <c r="ZR13" s="222"/>
      <c r="ZS13" s="222"/>
      <c r="ZT13" s="222"/>
      <c r="ZU13" s="222"/>
      <c r="ZV13" s="222"/>
      <c r="ZW13" s="222"/>
      <c r="ZX13" s="222"/>
      <c r="ZY13" s="222"/>
      <c r="ZZ13" s="222"/>
      <c r="AAA13" s="222"/>
      <c r="AAB13" s="222"/>
      <c r="AAC13" s="222"/>
      <c r="AAD13" s="222"/>
      <c r="AAE13" s="222"/>
      <c r="AAF13" s="222"/>
      <c r="AAG13" s="222"/>
      <c r="AAH13" s="222"/>
      <c r="AAI13" s="222"/>
      <c r="AAJ13" s="222"/>
      <c r="AAK13" s="222"/>
      <c r="AAL13" s="222"/>
      <c r="AAM13" s="222"/>
      <c r="AAN13" s="222"/>
      <c r="AAO13" s="222"/>
      <c r="AAP13" s="222"/>
      <c r="AAQ13" s="222"/>
      <c r="AAR13" s="222"/>
      <c r="AAS13" s="222"/>
      <c r="AAT13" s="222"/>
      <c r="AAU13" s="222"/>
      <c r="AAV13" s="222"/>
      <c r="AAW13" s="223"/>
      <c r="AAX13" s="221" t="s">
        <v>53</v>
      </c>
      <c r="AAY13" s="222"/>
      <c r="AAZ13" s="222"/>
      <c r="ABA13" s="222"/>
      <c r="ABB13" s="222"/>
      <c r="ABC13" s="222"/>
      <c r="ABD13" s="222"/>
      <c r="ABE13" s="222"/>
      <c r="ABF13" s="222"/>
      <c r="ABG13" s="222"/>
      <c r="ABH13" s="222"/>
      <c r="ABI13" s="222"/>
      <c r="ABJ13" s="222"/>
      <c r="ABK13" s="222"/>
      <c r="ABL13" s="222"/>
      <c r="ABM13" s="222"/>
      <c r="ABN13" s="222"/>
      <c r="ABO13" s="222"/>
      <c r="ABP13" s="222"/>
      <c r="ABQ13" s="222"/>
      <c r="ABR13" s="222"/>
      <c r="ABS13" s="222"/>
      <c r="ABT13" s="222"/>
      <c r="ABU13" s="222"/>
      <c r="ABV13" s="222"/>
      <c r="ABW13" s="222"/>
      <c r="ABX13" s="222"/>
      <c r="ABY13" s="222"/>
      <c r="ABZ13" s="222"/>
      <c r="ACA13" s="222"/>
      <c r="ACB13" s="222"/>
      <c r="ACC13" s="222"/>
      <c r="ACD13" s="222"/>
      <c r="ACE13" s="222"/>
      <c r="ACF13" s="222"/>
      <c r="ACG13" s="222"/>
      <c r="ACH13" s="222"/>
      <c r="ACI13" s="222"/>
      <c r="ACJ13" s="222"/>
      <c r="ACK13" s="222"/>
      <c r="ACL13" s="222"/>
      <c r="ACM13" s="222"/>
      <c r="ACN13" s="222"/>
      <c r="ACO13" s="222"/>
      <c r="ACP13" s="222"/>
      <c r="ACQ13" s="222"/>
      <c r="ACR13" s="222"/>
      <c r="ACS13" s="222"/>
      <c r="ACT13" s="222"/>
      <c r="ACU13" s="222"/>
      <c r="ACV13" s="222"/>
      <c r="ACW13" s="222"/>
      <c r="ACX13" s="222"/>
      <c r="ACY13" s="222"/>
      <c r="ACZ13" s="222"/>
      <c r="ADA13" s="222"/>
      <c r="ADB13" s="222"/>
      <c r="ADC13" s="222"/>
      <c r="ADD13" s="222"/>
      <c r="ADE13" s="223"/>
      <c r="ADF13" s="221" t="s">
        <v>52</v>
      </c>
      <c r="ADG13" s="222"/>
      <c r="ADH13" s="222"/>
      <c r="ADI13" s="222"/>
      <c r="ADJ13" s="222"/>
      <c r="ADK13" s="222"/>
      <c r="ADL13" s="222"/>
      <c r="ADM13" s="222"/>
      <c r="ADN13" s="222"/>
      <c r="ADO13" s="222"/>
      <c r="ADP13" s="222"/>
      <c r="ADQ13" s="222"/>
      <c r="ADR13" s="222"/>
      <c r="ADS13" s="222"/>
      <c r="ADT13" s="222"/>
      <c r="ADU13" s="222"/>
      <c r="ADV13" s="222"/>
      <c r="ADW13" s="222"/>
      <c r="ADX13" s="222"/>
      <c r="ADY13" s="222"/>
      <c r="ADZ13" s="222"/>
      <c r="AEA13" s="222"/>
      <c r="AEB13" s="222"/>
      <c r="AEC13" s="222"/>
      <c r="AED13" s="222"/>
      <c r="AEE13" s="222"/>
      <c r="AEF13" s="222"/>
      <c r="AEG13" s="222"/>
      <c r="AEH13" s="222"/>
      <c r="AEI13" s="222"/>
      <c r="AEJ13" s="222"/>
      <c r="AEK13" s="222"/>
      <c r="AEL13" s="222"/>
      <c r="AEM13" s="222"/>
      <c r="AEN13" s="222"/>
      <c r="AEO13" s="222"/>
      <c r="AEP13" s="222"/>
      <c r="AEQ13" s="222"/>
      <c r="AER13" s="222"/>
      <c r="AES13" s="222"/>
      <c r="AET13" s="222"/>
      <c r="AEU13" s="222"/>
      <c r="AEV13" s="222"/>
      <c r="AEW13" s="222"/>
      <c r="AEX13" s="222"/>
      <c r="AEY13" s="222"/>
      <c r="AEZ13" s="222"/>
      <c r="AFA13" s="222"/>
      <c r="AFB13" s="222"/>
      <c r="AFC13" s="222"/>
      <c r="AFD13" s="222"/>
      <c r="AFE13" s="222"/>
      <c r="AFF13" s="222"/>
      <c r="AFG13" s="222"/>
      <c r="AFH13" s="222"/>
      <c r="AFI13" s="222"/>
      <c r="AFJ13" s="222"/>
      <c r="AFK13" s="222"/>
      <c r="AFL13" s="222"/>
      <c r="AFM13" s="223"/>
      <c r="AFN13" s="221" t="s">
        <v>69</v>
      </c>
      <c r="AFO13" s="222"/>
      <c r="AFP13" s="222"/>
      <c r="AFQ13" s="222"/>
      <c r="AFR13" s="222"/>
      <c r="AFS13" s="222"/>
      <c r="AFT13" s="222"/>
      <c r="AFU13" s="222"/>
      <c r="AFV13" s="222"/>
      <c r="AFW13" s="222"/>
      <c r="AFX13" s="222"/>
      <c r="AFY13" s="222"/>
      <c r="AFZ13" s="222"/>
      <c r="AGA13" s="222"/>
      <c r="AGB13" s="222"/>
      <c r="AGC13" s="222"/>
      <c r="AGD13" s="222"/>
      <c r="AGE13" s="222"/>
      <c r="AGF13" s="222"/>
      <c r="AGG13" s="222"/>
      <c r="AGH13" s="222"/>
      <c r="AGI13" s="222"/>
      <c r="AGJ13" s="222"/>
      <c r="AGK13" s="222"/>
      <c r="AGL13" s="222"/>
      <c r="AGM13" s="222"/>
      <c r="AGN13" s="222"/>
      <c r="AGO13" s="222"/>
      <c r="AGP13" s="222"/>
      <c r="AGQ13" s="222"/>
      <c r="AGR13" s="222"/>
      <c r="AGS13" s="222"/>
      <c r="AGT13" s="222"/>
      <c r="AGU13" s="222"/>
      <c r="AGV13" s="222"/>
      <c r="AGW13" s="222"/>
      <c r="AGX13" s="222"/>
      <c r="AGY13" s="222"/>
      <c r="AGZ13" s="222"/>
      <c r="AHA13" s="222"/>
      <c r="AHB13" s="222"/>
      <c r="AHC13" s="222"/>
      <c r="AHD13" s="222"/>
      <c r="AHE13" s="222"/>
      <c r="AHF13" s="222"/>
      <c r="AHG13" s="222"/>
      <c r="AHH13" s="222"/>
      <c r="AHI13" s="222"/>
      <c r="AHJ13" s="222"/>
      <c r="AHK13" s="222"/>
      <c r="AHL13" s="222"/>
      <c r="AHM13" s="222"/>
      <c r="AHN13" s="222"/>
      <c r="AHO13" s="222"/>
      <c r="AHP13" s="222"/>
      <c r="AHQ13" s="222"/>
      <c r="AHR13" s="222"/>
      <c r="AHS13" s="222"/>
      <c r="AHT13" s="222"/>
      <c r="AHU13" s="223"/>
      <c r="AHV13" s="221" t="s">
        <v>68</v>
      </c>
      <c r="AHW13" s="222"/>
      <c r="AHX13" s="222"/>
      <c r="AHY13" s="222"/>
      <c r="AHZ13" s="222"/>
      <c r="AIA13" s="222"/>
      <c r="AIB13" s="222"/>
      <c r="AIC13" s="222"/>
      <c r="AID13" s="222"/>
      <c r="AIE13" s="222"/>
      <c r="AIF13" s="222"/>
      <c r="AIG13" s="222"/>
      <c r="AIH13" s="222"/>
      <c r="AII13" s="222"/>
      <c r="AIJ13" s="222"/>
      <c r="AIK13" s="222"/>
      <c r="AIL13" s="222"/>
      <c r="AIM13" s="222"/>
      <c r="AIN13" s="222"/>
      <c r="AIO13" s="222"/>
      <c r="AIP13" s="222"/>
      <c r="AIQ13" s="222"/>
      <c r="AIR13" s="222"/>
      <c r="AIS13" s="222"/>
      <c r="AIT13" s="222"/>
      <c r="AIU13" s="222"/>
      <c r="AIV13" s="222"/>
      <c r="AIW13" s="222"/>
      <c r="AIX13" s="222"/>
      <c r="AIY13" s="222"/>
      <c r="AIZ13" s="222"/>
      <c r="AJA13" s="222"/>
      <c r="AJB13" s="222"/>
      <c r="AJC13" s="222"/>
      <c r="AJD13" s="222"/>
      <c r="AJE13" s="222"/>
      <c r="AJF13" s="222"/>
      <c r="AJG13" s="222"/>
      <c r="AJH13" s="222"/>
      <c r="AJI13" s="222"/>
      <c r="AJJ13" s="222"/>
      <c r="AJK13" s="222"/>
      <c r="AJL13" s="222"/>
      <c r="AJM13" s="222"/>
      <c r="AJN13" s="222"/>
      <c r="AJO13" s="222"/>
      <c r="AJP13" s="222"/>
      <c r="AJQ13" s="222"/>
      <c r="AJR13" s="222"/>
      <c r="AJS13" s="222"/>
      <c r="AJT13" s="222"/>
      <c r="AJU13" s="222"/>
      <c r="AJV13" s="222"/>
      <c r="AJW13" s="222"/>
      <c r="AJX13" s="222"/>
      <c r="AJY13" s="222"/>
      <c r="AJZ13" s="222"/>
      <c r="AKA13" s="222"/>
      <c r="AKB13" s="222"/>
      <c r="AKC13" s="223"/>
      <c r="AKD13" s="221" t="s">
        <v>66</v>
      </c>
      <c r="AKE13" s="222"/>
      <c r="AKF13" s="222"/>
      <c r="AKG13" s="222"/>
      <c r="AKH13" s="222"/>
      <c r="AKI13" s="222"/>
      <c r="AKJ13" s="222"/>
      <c r="AKK13" s="222"/>
      <c r="AKL13" s="222"/>
      <c r="AKM13" s="222"/>
      <c r="AKN13" s="222"/>
      <c r="AKO13" s="222"/>
      <c r="AKP13" s="222"/>
      <c r="AKQ13" s="222"/>
      <c r="AKR13" s="222"/>
      <c r="AKS13" s="222"/>
      <c r="AKT13" s="222"/>
      <c r="AKU13" s="222"/>
      <c r="AKV13" s="222"/>
      <c r="AKW13" s="222"/>
      <c r="AKX13" s="222"/>
      <c r="AKY13" s="222"/>
      <c r="AKZ13" s="222"/>
      <c r="ALA13" s="222"/>
      <c r="ALB13" s="222"/>
      <c r="ALC13" s="222"/>
      <c r="ALD13" s="222"/>
      <c r="ALE13" s="222"/>
      <c r="ALF13" s="222"/>
      <c r="ALG13" s="222"/>
      <c r="ALH13" s="222"/>
      <c r="ALI13" s="222"/>
      <c r="ALJ13" s="222"/>
      <c r="ALK13" s="222"/>
      <c r="ALL13" s="222"/>
      <c r="ALM13" s="222"/>
      <c r="ALN13" s="222"/>
      <c r="ALO13" s="222"/>
      <c r="ALP13" s="222"/>
      <c r="ALQ13" s="222"/>
      <c r="ALR13" s="222"/>
      <c r="ALS13" s="222"/>
      <c r="ALT13" s="222"/>
      <c r="ALU13" s="222"/>
      <c r="ALV13" s="222"/>
      <c r="ALW13" s="222"/>
      <c r="ALX13" s="222"/>
      <c r="ALY13" s="222"/>
      <c r="ALZ13" s="222"/>
      <c r="AMA13" s="222"/>
      <c r="AMB13" s="222"/>
      <c r="AMC13" s="222"/>
      <c r="AMD13" s="222"/>
      <c r="AME13" s="222"/>
      <c r="AMF13" s="222"/>
      <c r="AMG13" s="222"/>
      <c r="AMH13" s="222"/>
      <c r="AMI13" s="222"/>
      <c r="AMJ13" s="222"/>
      <c r="AMK13" s="223"/>
      <c r="AML13" s="221" t="s">
        <v>65</v>
      </c>
      <c r="AMM13" s="222"/>
      <c r="AMN13" s="222"/>
      <c r="AMO13" s="222"/>
      <c r="AMP13" s="222"/>
      <c r="AMQ13" s="222"/>
      <c r="AMR13" s="222"/>
      <c r="AMS13" s="222"/>
      <c r="AMT13" s="222"/>
      <c r="AMU13" s="222"/>
      <c r="AMV13" s="222"/>
      <c r="AMW13" s="222"/>
      <c r="AMX13" s="222"/>
      <c r="AMY13" s="222"/>
      <c r="AMZ13" s="222"/>
      <c r="ANA13" s="222"/>
      <c r="ANB13" s="222"/>
      <c r="ANC13" s="222"/>
      <c r="AND13" s="222"/>
      <c r="ANE13" s="222"/>
      <c r="ANF13" s="222"/>
      <c r="ANG13" s="222"/>
      <c r="ANH13" s="222"/>
      <c r="ANI13" s="222"/>
      <c r="ANJ13" s="222"/>
      <c r="ANK13" s="222"/>
      <c r="ANL13" s="222"/>
      <c r="ANM13" s="222"/>
      <c r="ANN13" s="222"/>
      <c r="ANO13" s="222"/>
      <c r="ANP13" s="222"/>
      <c r="ANQ13" s="222"/>
      <c r="ANR13" s="222"/>
      <c r="ANS13" s="222"/>
      <c r="ANT13" s="222"/>
      <c r="ANU13" s="222"/>
      <c r="ANV13" s="222"/>
      <c r="ANW13" s="222"/>
      <c r="ANX13" s="222"/>
      <c r="ANY13" s="222"/>
      <c r="ANZ13" s="222"/>
      <c r="AOA13" s="222"/>
      <c r="AOB13" s="222"/>
      <c r="AOC13" s="222"/>
      <c r="AOD13" s="222"/>
      <c r="AOE13" s="222"/>
      <c r="AOF13" s="222"/>
      <c r="AOG13" s="222"/>
      <c r="AOH13" s="222"/>
      <c r="AOI13" s="222"/>
      <c r="AOJ13" s="222"/>
      <c r="AOK13" s="222"/>
      <c r="AOL13" s="222"/>
      <c r="AOM13" s="222"/>
      <c r="AON13" s="222"/>
      <c r="AOO13" s="222"/>
      <c r="AOP13" s="222"/>
      <c r="AOQ13" s="222"/>
      <c r="AOR13" s="222"/>
      <c r="AOS13" s="223"/>
      <c r="AOT13" s="221" t="s">
        <v>63</v>
      </c>
      <c r="AOU13" s="222"/>
      <c r="AOV13" s="222"/>
      <c r="AOW13" s="222"/>
      <c r="AOX13" s="222"/>
      <c r="AOY13" s="222"/>
      <c r="AOZ13" s="222"/>
      <c r="APA13" s="222"/>
      <c r="APB13" s="222"/>
      <c r="APC13" s="222"/>
      <c r="APD13" s="222"/>
      <c r="APE13" s="222"/>
      <c r="APF13" s="222"/>
      <c r="APG13" s="222"/>
      <c r="APH13" s="222"/>
      <c r="API13" s="222"/>
      <c r="APJ13" s="222"/>
      <c r="APK13" s="222"/>
      <c r="APL13" s="222"/>
      <c r="APM13" s="222"/>
      <c r="APN13" s="222"/>
      <c r="APO13" s="222"/>
      <c r="APP13" s="222"/>
      <c r="APQ13" s="222"/>
      <c r="APR13" s="222"/>
      <c r="APS13" s="222"/>
      <c r="APT13" s="222"/>
      <c r="APU13" s="222"/>
      <c r="APV13" s="222"/>
      <c r="APW13" s="222"/>
      <c r="APX13" s="222"/>
      <c r="APY13" s="222"/>
      <c r="APZ13" s="222"/>
      <c r="AQA13" s="222"/>
      <c r="AQB13" s="222"/>
      <c r="AQC13" s="222"/>
      <c r="AQD13" s="222"/>
      <c r="AQE13" s="222"/>
      <c r="AQF13" s="222"/>
      <c r="AQG13" s="222"/>
      <c r="AQH13" s="222"/>
      <c r="AQI13" s="222"/>
      <c r="AQJ13" s="222"/>
      <c r="AQK13" s="222"/>
      <c r="AQL13" s="222"/>
      <c r="AQM13" s="222"/>
      <c r="AQN13" s="222"/>
      <c r="AQO13" s="222"/>
      <c r="AQP13" s="222"/>
      <c r="AQQ13" s="222"/>
      <c r="AQR13" s="222"/>
      <c r="AQS13" s="222"/>
      <c r="AQT13" s="222"/>
      <c r="AQU13" s="222"/>
      <c r="AQV13" s="222"/>
      <c r="AQW13" s="222"/>
      <c r="AQX13" s="222"/>
      <c r="AQY13" s="222"/>
      <c r="AQZ13" s="222"/>
      <c r="ARA13" s="223"/>
      <c r="ARB13" s="221" t="s">
        <v>61</v>
      </c>
      <c r="ARC13" s="222"/>
      <c r="ARD13" s="222"/>
      <c r="ARE13" s="222"/>
      <c r="ARF13" s="222"/>
      <c r="ARG13" s="222"/>
      <c r="ARH13" s="222"/>
      <c r="ARI13" s="222"/>
      <c r="ARJ13" s="222"/>
      <c r="ARK13" s="222"/>
      <c r="ARL13" s="222"/>
      <c r="ARM13" s="222"/>
      <c r="ARN13" s="222"/>
      <c r="ARO13" s="222"/>
      <c r="ARP13" s="222"/>
      <c r="ARQ13" s="222"/>
      <c r="ARR13" s="222"/>
      <c r="ARS13" s="222"/>
      <c r="ART13" s="222"/>
      <c r="ARU13" s="222"/>
      <c r="ARV13" s="222"/>
      <c r="ARW13" s="222"/>
      <c r="ARX13" s="222"/>
      <c r="ARY13" s="222"/>
      <c r="ARZ13" s="222"/>
      <c r="ASA13" s="222"/>
      <c r="ASB13" s="222"/>
      <c r="ASC13" s="222"/>
      <c r="ASD13" s="222"/>
      <c r="ASE13" s="222"/>
      <c r="ASF13" s="222"/>
      <c r="ASG13" s="222"/>
      <c r="ASH13" s="222"/>
      <c r="ASI13" s="222"/>
      <c r="ASJ13" s="222"/>
      <c r="ASK13" s="222"/>
      <c r="ASL13" s="222"/>
      <c r="ASM13" s="222"/>
      <c r="ASN13" s="222"/>
      <c r="ASO13" s="222"/>
      <c r="ASP13" s="222"/>
      <c r="ASQ13" s="222"/>
      <c r="ASR13" s="222"/>
      <c r="ASS13" s="222"/>
      <c r="AST13" s="222"/>
      <c r="ASU13" s="222"/>
      <c r="ASV13" s="222"/>
      <c r="ASW13" s="222"/>
      <c r="ASX13" s="222"/>
      <c r="ASY13" s="222"/>
      <c r="ASZ13" s="222"/>
      <c r="ATA13" s="222"/>
      <c r="ATB13" s="222"/>
      <c r="ATC13" s="222"/>
      <c r="ATD13" s="222"/>
      <c r="ATE13" s="222"/>
      <c r="ATF13" s="222"/>
      <c r="ATG13" s="222"/>
      <c r="ATH13" s="222"/>
      <c r="ATI13" s="223"/>
      <c r="ATJ13" s="221" t="s">
        <v>60</v>
      </c>
      <c r="ATK13" s="222"/>
      <c r="ATL13" s="222"/>
      <c r="ATM13" s="222"/>
      <c r="ATN13" s="222"/>
      <c r="ATO13" s="222"/>
      <c r="ATP13" s="222"/>
      <c r="ATQ13" s="222"/>
      <c r="ATR13" s="222"/>
      <c r="ATS13" s="222"/>
      <c r="ATT13" s="222"/>
      <c r="ATU13" s="222"/>
      <c r="ATV13" s="222"/>
      <c r="ATW13" s="222"/>
      <c r="ATX13" s="222"/>
      <c r="ATY13" s="222"/>
      <c r="ATZ13" s="222"/>
      <c r="AUA13" s="222"/>
      <c r="AUB13" s="222"/>
      <c r="AUC13" s="222"/>
      <c r="AUD13" s="222"/>
      <c r="AUE13" s="222"/>
      <c r="AUF13" s="222"/>
      <c r="AUG13" s="222"/>
      <c r="AUH13" s="222"/>
      <c r="AUI13" s="222"/>
      <c r="AUJ13" s="222"/>
      <c r="AUK13" s="222"/>
      <c r="AUL13" s="222"/>
      <c r="AUM13" s="222"/>
      <c r="AUN13" s="222"/>
      <c r="AUO13" s="222"/>
      <c r="AUP13" s="222"/>
      <c r="AUQ13" s="222"/>
      <c r="AUR13" s="222"/>
      <c r="AUS13" s="222"/>
      <c r="AUT13" s="222"/>
      <c r="AUU13" s="222"/>
      <c r="AUV13" s="222"/>
      <c r="AUW13" s="222"/>
      <c r="AUX13" s="222"/>
      <c r="AUY13" s="222"/>
      <c r="AUZ13" s="222"/>
      <c r="AVA13" s="222"/>
      <c r="AVB13" s="222"/>
      <c r="AVC13" s="222"/>
      <c r="AVD13" s="222"/>
      <c r="AVE13" s="222"/>
      <c r="AVF13" s="222"/>
      <c r="AVG13" s="222"/>
      <c r="AVH13" s="222"/>
      <c r="AVI13" s="222"/>
      <c r="AVJ13" s="222"/>
      <c r="AVK13" s="222"/>
      <c r="AVL13" s="222"/>
      <c r="AVM13" s="222"/>
      <c r="AVN13" s="222"/>
      <c r="AVO13" s="222"/>
      <c r="AVP13" s="222"/>
      <c r="AVQ13" s="223"/>
      <c r="AVR13" s="221" t="s">
        <v>142</v>
      </c>
      <c r="AVS13" s="222"/>
      <c r="AVT13" s="222"/>
      <c r="AVU13" s="222"/>
      <c r="AVV13" s="222"/>
      <c r="AVW13" s="222"/>
      <c r="AVX13" s="222"/>
      <c r="AVY13" s="222"/>
      <c r="AVZ13" s="222"/>
      <c r="AWA13" s="222"/>
      <c r="AWB13" s="222"/>
      <c r="AWC13" s="222"/>
      <c r="AWD13" s="222"/>
      <c r="AWE13" s="222"/>
      <c r="AWF13" s="222"/>
      <c r="AWG13" s="222"/>
      <c r="AWH13" s="222"/>
      <c r="AWI13" s="222"/>
      <c r="AWJ13" s="222"/>
      <c r="AWK13" s="222"/>
      <c r="AWL13" s="222"/>
      <c r="AWM13" s="222"/>
      <c r="AWN13" s="222"/>
      <c r="AWO13" s="222"/>
      <c r="AWP13" s="222"/>
      <c r="AWQ13" s="222"/>
      <c r="AWR13" s="222"/>
      <c r="AWS13" s="222"/>
      <c r="AWT13" s="222"/>
      <c r="AWU13" s="222"/>
      <c r="AWV13" s="222"/>
      <c r="AWW13" s="222"/>
      <c r="AWX13" s="222"/>
      <c r="AWY13" s="222"/>
      <c r="AWZ13" s="222"/>
      <c r="AXA13" s="222"/>
      <c r="AXB13" s="222"/>
      <c r="AXC13" s="222"/>
      <c r="AXD13" s="222"/>
      <c r="AXE13" s="222"/>
      <c r="AXF13" s="222"/>
      <c r="AXG13" s="222"/>
      <c r="AXH13" s="222"/>
      <c r="AXI13" s="222"/>
      <c r="AXJ13" s="222"/>
      <c r="AXK13" s="222"/>
      <c r="AXL13" s="222"/>
      <c r="AXM13" s="222"/>
      <c r="AXN13" s="222"/>
      <c r="AXO13" s="222"/>
      <c r="AXP13" s="222"/>
      <c r="AXQ13" s="222"/>
      <c r="AXR13" s="222"/>
      <c r="AXS13" s="222"/>
      <c r="AXT13" s="222"/>
      <c r="AXU13" s="222"/>
      <c r="AXV13" s="222"/>
      <c r="AXW13" s="222"/>
      <c r="AXX13" s="222"/>
      <c r="AXY13" s="223"/>
      <c r="AXZ13" s="221" t="s">
        <v>141</v>
      </c>
      <c r="AYA13" s="222"/>
      <c r="AYB13" s="222"/>
      <c r="AYC13" s="222"/>
      <c r="AYD13" s="222"/>
      <c r="AYE13" s="222"/>
      <c r="AYF13" s="222"/>
      <c r="AYG13" s="222"/>
      <c r="AYH13" s="222"/>
      <c r="AYI13" s="222"/>
      <c r="AYJ13" s="222"/>
      <c r="AYK13" s="222"/>
      <c r="AYL13" s="222"/>
      <c r="AYM13" s="222"/>
      <c r="AYN13" s="222"/>
      <c r="AYO13" s="222"/>
      <c r="AYP13" s="222"/>
      <c r="AYQ13" s="222"/>
      <c r="AYR13" s="222"/>
      <c r="AYS13" s="222"/>
      <c r="AYT13" s="222"/>
      <c r="AYU13" s="222"/>
      <c r="AYV13" s="222"/>
      <c r="AYW13" s="222"/>
      <c r="AYX13" s="222"/>
      <c r="AYY13" s="222"/>
      <c r="AYZ13" s="222"/>
      <c r="AZA13" s="222"/>
      <c r="AZB13" s="222"/>
      <c r="AZC13" s="222"/>
      <c r="AZD13" s="222"/>
      <c r="AZE13" s="222"/>
      <c r="AZF13" s="222"/>
      <c r="AZG13" s="222"/>
      <c r="AZH13" s="222"/>
      <c r="AZI13" s="222"/>
      <c r="AZJ13" s="222"/>
      <c r="AZK13" s="222"/>
      <c r="AZL13" s="222"/>
      <c r="AZM13" s="222"/>
      <c r="AZN13" s="222"/>
      <c r="AZO13" s="222"/>
      <c r="AZP13" s="222"/>
      <c r="AZQ13" s="222"/>
      <c r="AZR13" s="222"/>
      <c r="AZS13" s="222"/>
      <c r="AZT13" s="222"/>
      <c r="AZU13" s="222"/>
      <c r="AZV13" s="222"/>
      <c r="AZW13" s="222"/>
      <c r="AZX13" s="222"/>
      <c r="AZY13" s="222"/>
      <c r="AZZ13" s="222"/>
      <c r="BAA13" s="222"/>
      <c r="BAB13" s="222"/>
      <c r="BAC13" s="222"/>
      <c r="BAD13" s="222"/>
      <c r="BAE13" s="222"/>
      <c r="BAF13" s="222"/>
      <c r="BAG13" s="223"/>
      <c r="BAH13" s="221" t="s">
        <v>140</v>
      </c>
      <c r="BAI13" s="222"/>
      <c r="BAJ13" s="222"/>
      <c r="BAK13" s="222"/>
      <c r="BAL13" s="222"/>
      <c r="BAM13" s="222"/>
      <c r="BAN13" s="222"/>
      <c r="BAO13" s="222"/>
      <c r="BAP13" s="222"/>
      <c r="BAQ13" s="222"/>
      <c r="BAR13" s="222"/>
      <c r="BAS13" s="222"/>
      <c r="BAT13" s="222"/>
      <c r="BAU13" s="222"/>
      <c r="BAV13" s="222"/>
      <c r="BAW13" s="222"/>
      <c r="BAX13" s="222"/>
      <c r="BAY13" s="222"/>
      <c r="BAZ13" s="222"/>
      <c r="BBA13" s="222"/>
      <c r="BBB13" s="222"/>
      <c r="BBC13" s="222"/>
      <c r="BBD13" s="222"/>
      <c r="BBE13" s="222"/>
      <c r="BBF13" s="222"/>
      <c r="BBG13" s="222"/>
      <c r="BBH13" s="222"/>
      <c r="BBI13" s="222"/>
      <c r="BBJ13" s="222"/>
      <c r="BBK13" s="222"/>
      <c r="BBL13" s="222"/>
      <c r="BBM13" s="222"/>
      <c r="BBN13" s="222"/>
      <c r="BBO13" s="222"/>
      <c r="BBP13" s="222"/>
      <c r="BBQ13" s="222"/>
      <c r="BBR13" s="222"/>
      <c r="BBS13" s="222"/>
      <c r="BBT13" s="222"/>
      <c r="BBU13" s="222"/>
      <c r="BBV13" s="222"/>
      <c r="BBW13" s="222"/>
      <c r="BBX13" s="222"/>
      <c r="BBY13" s="222"/>
      <c r="BBZ13" s="222"/>
      <c r="BCA13" s="222"/>
      <c r="BCB13" s="222"/>
      <c r="BCC13" s="222"/>
      <c r="BCD13" s="222"/>
      <c r="BCE13" s="222"/>
      <c r="BCF13" s="222"/>
      <c r="BCG13" s="222"/>
      <c r="BCH13" s="222"/>
      <c r="BCI13" s="222"/>
      <c r="BCJ13" s="222"/>
      <c r="BCK13" s="222"/>
      <c r="BCL13" s="222"/>
      <c r="BCM13" s="222"/>
      <c r="BCN13" s="222"/>
      <c r="BCO13" s="223"/>
      <c r="BCP13" s="221" t="s">
        <v>138</v>
      </c>
      <c r="BCQ13" s="222"/>
      <c r="BCR13" s="222"/>
      <c r="BCS13" s="222"/>
      <c r="BCT13" s="222"/>
      <c r="BCU13" s="222"/>
      <c r="BCV13" s="222"/>
      <c r="BCW13" s="222"/>
      <c r="BCX13" s="222"/>
      <c r="BCY13" s="222"/>
      <c r="BCZ13" s="222"/>
      <c r="BDA13" s="222"/>
      <c r="BDB13" s="222"/>
      <c r="BDC13" s="222"/>
      <c r="BDD13" s="222"/>
      <c r="BDE13" s="222"/>
      <c r="BDF13" s="222"/>
      <c r="BDG13" s="222"/>
      <c r="BDH13" s="222"/>
      <c r="BDI13" s="222"/>
      <c r="BDJ13" s="222"/>
      <c r="BDK13" s="222"/>
      <c r="BDL13" s="222"/>
      <c r="BDM13" s="222"/>
      <c r="BDN13" s="222"/>
      <c r="BDO13" s="222"/>
      <c r="BDP13" s="222"/>
      <c r="BDQ13" s="222"/>
      <c r="BDR13" s="222"/>
      <c r="BDS13" s="222"/>
      <c r="BDT13" s="222"/>
      <c r="BDU13" s="222"/>
      <c r="BDV13" s="222"/>
      <c r="BDW13" s="222"/>
      <c r="BDX13" s="222"/>
      <c r="BDY13" s="222"/>
      <c r="BDZ13" s="222"/>
      <c r="BEA13" s="222"/>
      <c r="BEB13" s="222"/>
      <c r="BEC13" s="222"/>
      <c r="BED13" s="222"/>
      <c r="BEE13" s="222"/>
      <c r="BEF13" s="222"/>
      <c r="BEG13" s="222"/>
      <c r="BEH13" s="222"/>
      <c r="BEI13" s="222"/>
      <c r="BEJ13" s="222"/>
      <c r="BEK13" s="222"/>
      <c r="BEL13" s="222"/>
      <c r="BEM13" s="222"/>
      <c r="BEN13" s="222"/>
      <c r="BEO13" s="222"/>
      <c r="BEP13" s="222"/>
      <c r="BEQ13" s="222"/>
      <c r="BER13" s="222"/>
      <c r="BES13" s="222"/>
      <c r="BET13" s="222"/>
      <c r="BEU13" s="222"/>
      <c r="BEV13" s="222"/>
      <c r="BEW13" s="223"/>
      <c r="BEX13" s="221" t="s">
        <v>136</v>
      </c>
      <c r="BEY13" s="222"/>
      <c r="BEZ13" s="222"/>
      <c r="BFA13" s="222"/>
      <c r="BFB13" s="222"/>
      <c r="BFC13" s="222"/>
      <c r="BFD13" s="222"/>
      <c r="BFE13" s="222"/>
      <c r="BFF13" s="222"/>
      <c r="BFG13" s="222"/>
      <c r="BFH13" s="222"/>
      <c r="BFI13" s="222"/>
      <c r="BFJ13" s="222"/>
      <c r="BFK13" s="222"/>
      <c r="BFL13" s="222"/>
      <c r="BFM13" s="222"/>
      <c r="BFN13" s="222"/>
      <c r="BFO13" s="222"/>
      <c r="BFP13" s="222"/>
      <c r="BFQ13" s="222"/>
      <c r="BFR13" s="222"/>
      <c r="BFS13" s="222"/>
      <c r="BFT13" s="222"/>
      <c r="BFU13" s="222"/>
      <c r="BFV13" s="222"/>
      <c r="BFW13" s="222"/>
      <c r="BFX13" s="222"/>
      <c r="BFY13" s="222"/>
      <c r="BFZ13" s="222"/>
      <c r="BGA13" s="222"/>
      <c r="BGB13" s="222"/>
      <c r="BGC13" s="222"/>
      <c r="BGD13" s="222"/>
      <c r="BGE13" s="222"/>
      <c r="BGF13" s="222"/>
      <c r="BGG13" s="222"/>
      <c r="BGH13" s="222"/>
      <c r="BGI13" s="222"/>
      <c r="BGJ13" s="222"/>
      <c r="BGK13" s="222"/>
      <c r="BGL13" s="222"/>
      <c r="BGM13" s="222"/>
      <c r="BGN13" s="222"/>
      <c r="BGO13" s="222"/>
      <c r="BGP13" s="222"/>
      <c r="BGQ13" s="222"/>
      <c r="BGR13" s="222"/>
      <c r="BGS13" s="222"/>
      <c r="BGT13" s="222"/>
      <c r="BGU13" s="222"/>
      <c r="BGV13" s="222"/>
      <c r="BGW13" s="222"/>
      <c r="BGX13" s="222"/>
      <c r="BGY13" s="222"/>
      <c r="BGZ13" s="222"/>
      <c r="BHA13" s="222"/>
      <c r="BHB13" s="222"/>
      <c r="BHC13" s="222"/>
      <c r="BHD13" s="222"/>
      <c r="BHE13" s="223"/>
      <c r="BHF13" s="221" t="s">
        <v>135</v>
      </c>
      <c r="BHG13" s="222"/>
      <c r="BHH13" s="222"/>
      <c r="BHI13" s="222"/>
      <c r="BHJ13" s="222"/>
      <c r="BHK13" s="222"/>
      <c r="BHL13" s="222"/>
      <c r="BHM13" s="222"/>
      <c r="BHN13" s="222"/>
      <c r="BHO13" s="222"/>
      <c r="BHP13" s="222"/>
      <c r="BHQ13" s="222"/>
      <c r="BHR13" s="222"/>
      <c r="BHS13" s="222"/>
      <c r="BHT13" s="222"/>
      <c r="BHU13" s="222"/>
      <c r="BHV13" s="222"/>
      <c r="BHW13" s="222"/>
      <c r="BHX13" s="222"/>
      <c r="BHY13" s="222"/>
      <c r="BHZ13" s="222"/>
      <c r="BIA13" s="222"/>
      <c r="BIB13" s="222"/>
      <c r="BIC13" s="222"/>
      <c r="BID13" s="222"/>
      <c r="BIE13" s="222"/>
      <c r="BIF13" s="222"/>
      <c r="BIG13" s="222"/>
      <c r="BIH13" s="222"/>
      <c r="BII13" s="222"/>
      <c r="BIJ13" s="222"/>
      <c r="BIK13" s="222"/>
      <c r="BIL13" s="222"/>
      <c r="BIM13" s="222"/>
      <c r="BIN13" s="222"/>
      <c r="BIO13" s="222"/>
      <c r="BIP13" s="222"/>
      <c r="BIQ13" s="222"/>
      <c r="BIR13" s="222"/>
      <c r="BIS13" s="222"/>
      <c r="BIT13" s="222"/>
      <c r="BIU13" s="222"/>
      <c r="BIV13" s="222"/>
      <c r="BIW13" s="222"/>
      <c r="BIX13" s="222"/>
      <c r="BIY13" s="222"/>
      <c r="BIZ13" s="222"/>
      <c r="BJA13" s="222"/>
      <c r="BJB13" s="222"/>
      <c r="BJC13" s="222"/>
      <c r="BJD13" s="222"/>
      <c r="BJE13" s="222"/>
      <c r="BJF13" s="222"/>
      <c r="BJG13" s="222"/>
      <c r="BJH13" s="222"/>
      <c r="BJI13" s="222"/>
      <c r="BJJ13" s="222"/>
      <c r="BJK13" s="222"/>
      <c r="BJL13" s="222"/>
      <c r="BJM13" s="223"/>
      <c r="BJN13" s="221" t="s">
        <v>133</v>
      </c>
      <c r="BJO13" s="222"/>
      <c r="BJP13" s="222"/>
      <c r="BJQ13" s="222"/>
      <c r="BJR13" s="222"/>
      <c r="BJS13" s="222"/>
      <c r="BJT13" s="222"/>
      <c r="BJU13" s="222"/>
      <c r="BJV13" s="222"/>
      <c r="BJW13" s="222"/>
      <c r="BJX13" s="222"/>
      <c r="BJY13" s="222"/>
      <c r="BJZ13" s="222"/>
      <c r="BKA13" s="222"/>
      <c r="BKB13" s="222"/>
      <c r="BKC13" s="222"/>
      <c r="BKD13" s="222"/>
      <c r="BKE13" s="222"/>
      <c r="BKF13" s="222"/>
      <c r="BKG13" s="222"/>
      <c r="BKH13" s="222"/>
      <c r="BKI13" s="222"/>
      <c r="BKJ13" s="222"/>
      <c r="BKK13" s="222"/>
      <c r="BKL13" s="222"/>
      <c r="BKM13" s="222"/>
      <c r="BKN13" s="222"/>
      <c r="BKO13" s="222"/>
      <c r="BKP13" s="222"/>
      <c r="BKQ13" s="222"/>
      <c r="BKR13" s="222"/>
      <c r="BKS13" s="222"/>
      <c r="BKT13" s="222"/>
      <c r="BKU13" s="222"/>
      <c r="BKV13" s="222"/>
      <c r="BKW13" s="222"/>
      <c r="BKX13" s="222"/>
      <c r="BKY13" s="222"/>
      <c r="BKZ13" s="222"/>
      <c r="BLA13" s="222"/>
      <c r="BLB13" s="222"/>
      <c r="BLC13" s="222"/>
      <c r="BLD13" s="222"/>
      <c r="BLE13" s="222"/>
      <c r="BLF13" s="222"/>
      <c r="BLG13" s="222"/>
      <c r="BLH13" s="222"/>
      <c r="BLI13" s="222"/>
      <c r="BLJ13" s="222"/>
      <c r="BLK13" s="222"/>
      <c r="BLL13" s="222"/>
      <c r="BLM13" s="222"/>
      <c r="BLN13" s="222"/>
      <c r="BLO13" s="222"/>
      <c r="BLP13" s="222"/>
      <c r="BLQ13" s="222"/>
      <c r="BLR13" s="222"/>
      <c r="BLS13" s="222"/>
      <c r="BLT13" s="222"/>
      <c r="BLU13" s="223"/>
    </row>
    <row r="14" spans="1:1685" ht="12.75" customHeight="1" thickBot="1" x14ac:dyDescent="0.35">
      <c r="B14" s="53"/>
      <c r="C14" s="246"/>
      <c r="D14" s="128"/>
      <c r="E14" s="248"/>
      <c r="F14" s="87"/>
      <c r="G14" s="88"/>
      <c r="H14" s="88"/>
      <c r="I14" s="88"/>
      <c r="J14" s="224" t="s">
        <v>34</v>
      </c>
      <c r="K14" s="224"/>
      <c r="L14" s="224"/>
      <c r="M14" s="224"/>
      <c r="N14" s="88"/>
      <c r="O14" s="88"/>
      <c r="P14" s="225" t="s">
        <v>23</v>
      </c>
      <c r="Q14" s="225"/>
      <c r="R14" s="225"/>
      <c r="S14" s="225"/>
      <c r="T14" s="112"/>
      <c r="U14" s="112"/>
      <c r="V14" s="224" t="s">
        <v>35</v>
      </c>
      <c r="W14" s="224"/>
      <c r="X14" s="224"/>
      <c r="Y14" s="224"/>
      <c r="Z14" s="88"/>
      <c r="AA14" s="88"/>
      <c r="AB14" s="225" t="s">
        <v>24</v>
      </c>
      <c r="AC14" s="225"/>
      <c r="AD14" s="225"/>
      <c r="AE14" s="225"/>
      <c r="AF14" s="112"/>
      <c r="AG14" s="112"/>
      <c r="AH14" s="224" t="s">
        <v>36</v>
      </c>
      <c r="AI14" s="224"/>
      <c r="AJ14" s="224"/>
      <c r="AK14" s="224"/>
      <c r="AL14" s="88"/>
      <c r="AM14" s="88"/>
      <c r="AN14" s="225" t="s">
        <v>25</v>
      </c>
      <c r="AO14" s="225"/>
      <c r="AP14" s="225"/>
      <c r="AQ14" s="225"/>
      <c r="AR14" s="112"/>
      <c r="AS14" s="112"/>
      <c r="AT14" s="224" t="s">
        <v>37</v>
      </c>
      <c r="AU14" s="224"/>
      <c r="AV14" s="224"/>
      <c r="AW14" s="224"/>
      <c r="AX14" s="88"/>
      <c r="AY14" s="88"/>
      <c r="AZ14" s="225" t="s">
        <v>26</v>
      </c>
      <c r="BA14" s="225"/>
      <c r="BB14" s="225"/>
      <c r="BC14" s="225"/>
      <c r="BD14" s="112"/>
      <c r="BE14" s="112"/>
      <c r="BF14" s="224" t="s">
        <v>38</v>
      </c>
      <c r="BG14" s="224"/>
      <c r="BH14" s="224"/>
      <c r="BI14" s="224"/>
      <c r="BJ14" s="88"/>
      <c r="BK14" s="88"/>
      <c r="BL14" s="88"/>
      <c r="BM14" s="89"/>
      <c r="BN14" s="87"/>
      <c r="BO14" s="88"/>
      <c r="BP14" s="88"/>
      <c r="BQ14" s="88"/>
      <c r="BR14" s="224" t="s">
        <v>34</v>
      </c>
      <c r="BS14" s="224"/>
      <c r="BT14" s="224"/>
      <c r="BU14" s="224"/>
      <c r="BV14" s="88"/>
      <c r="BW14" s="88"/>
      <c r="BX14" s="225" t="s">
        <v>23</v>
      </c>
      <c r="BY14" s="225"/>
      <c r="BZ14" s="225"/>
      <c r="CA14" s="225"/>
      <c r="CB14" s="112"/>
      <c r="CC14" s="112"/>
      <c r="CD14" s="224" t="s">
        <v>35</v>
      </c>
      <c r="CE14" s="224"/>
      <c r="CF14" s="224"/>
      <c r="CG14" s="224"/>
      <c r="CH14" s="88"/>
      <c r="CI14" s="88"/>
      <c r="CJ14" s="225" t="s">
        <v>24</v>
      </c>
      <c r="CK14" s="225"/>
      <c r="CL14" s="225"/>
      <c r="CM14" s="225"/>
      <c r="CN14" s="112"/>
      <c r="CO14" s="112"/>
      <c r="CP14" s="224" t="s">
        <v>36</v>
      </c>
      <c r="CQ14" s="224"/>
      <c r="CR14" s="224"/>
      <c r="CS14" s="224"/>
      <c r="CT14" s="88"/>
      <c r="CU14" s="88"/>
      <c r="CV14" s="225" t="s">
        <v>25</v>
      </c>
      <c r="CW14" s="225"/>
      <c r="CX14" s="225"/>
      <c r="CY14" s="225"/>
      <c r="CZ14" s="112"/>
      <c r="DA14" s="112"/>
      <c r="DB14" s="224" t="s">
        <v>37</v>
      </c>
      <c r="DC14" s="224"/>
      <c r="DD14" s="224"/>
      <c r="DE14" s="224"/>
      <c r="DF14" s="88"/>
      <c r="DG14" s="88"/>
      <c r="DH14" s="225" t="s">
        <v>26</v>
      </c>
      <c r="DI14" s="225"/>
      <c r="DJ14" s="225"/>
      <c r="DK14" s="225"/>
      <c r="DL14" s="112"/>
      <c r="DM14" s="112"/>
      <c r="DN14" s="224" t="s">
        <v>38</v>
      </c>
      <c r="DO14" s="224"/>
      <c r="DP14" s="224"/>
      <c r="DQ14" s="224"/>
      <c r="DR14" s="88"/>
      <c r="DS14" s="88"/>
      <c r="DT14" s="88"/>
      <c r="DU14" s="89"/>
      <c r="DV14" s="87"/>
      <c r="DW14" s="88"/>
      <c r="DX14" s="88"/>
      <c r="DY14" s="88"/>
      <c r="DZ14" s="224" t="s">
        <v>34</v>
      </c>
      <c r="EA14" s="224"/>
      <c r="EB14" s="224"/>
      <c r="EC14" s="224"/>
      <c r="ED14" s="88"/>
      <c r="EE14" s="88"/>
      <c r="EF14" s="225" t="s">
        <v>23</v>
      </c>
      <c r="EG14" s="225"/>
      <c r="EH14" s="225"/>
      <c r="EI14" s="225"/>
      <c r="EJ14" s="112"/>
      <c r="EK14" s="112"/>
      <c r="EL14" s="224" t="s">
        <v>35</v>
      </c>
      <c r="EM14" s="224"/>
      <c r="EN14" s="224"/>
      <c r="EO14" s="224"/>
      <c r="EP14" s="88"/>
      <c r="EQ14" s="88"/>
      <c r="ER14" s="225" t="s">
        <v>24</v>
      </c>
      <c r="ES14" s="225"/>
      <c r="ET14" s="225"/>
      <c r="EU14" s="225"/>
      <c r="EV14" s="112"/>
      <c r="EW14" s="112"/>
      <c r="EX14" s="224" t="s">
        <v>36</v>
      </c>
      <c r="EY14" s="224"/>
      <c r="EZ14" s="224"/>
      <c r="FA14" s="224"/>
      <c r="FB14" s="88"/>
      <c r="FC14" s="88"/>
      <c r="FD14" s="225" t="s">
        <v>25</v>
      </c>
      <c r="FE14" s="225"/>
      <c r="FF14" s="225"/>
      <c r="FG14" s="225"/>
      <c r="FH14" s="112"/>
      <c r="FI14" s="112"/>
      <c r="FJ14" s="224" t="s">
        <v>37</v>
      </c>
      <c r="FK14" s="224"/>
      <c r="FL14" s="224"/>
      <c r="FM14" s="224"/>
      <c r="FN14" s="88"/>
      <c r="FO14" s="88"/>
      <c r="FP14" s="225" t="s">
        <v>26</v>
      </c>
      <c r="FQ14" s="225"/>
      <c r="FR14" s="225"/>
      <c r="FS14" s="225"/>
      <c r="FT14" s="112"/>
      <c r="FU14" s="112"/>
      <c r="FV14" s="224" t="s">
        <v>38</v>
      </c>
      <c r="FW14" s="224"/>
      <c r="FX14" s="224"/>
      <c r="FY14" s="224"/>
      <c r="FZ14" s="88"/>
      <c r="GA14" s="88"/>
      <c r="GB14" s="88"/>
      <c r="GC14" s="89"/>
      <c r="GD14" s="87"/>
      <c r="GE14" s="88"/>
      <c r="GF14" s="88"/>
      <c r="GG14" s="88"/>
      <c r="GH14" s="224" t="s">
        <v>34</v>
      </c>
      <c r="GI14" s="224"/>
      <c r="GJ14" s="224"/>
      <c r="GK14" s="224"/>
      <c r="GL14" s="88"/>
      <c r="GM14" s="88"/>
      <c r="GN14" s="225" t="s">
        <v>23</v>
      </c>
      <c r="GO14" s="225"/>
      <c r="GP14" s="225"/>
      <c r="GQ14" s="225"/>
      <c r="GR14" s="112"/>
      <c r="GS14" s="112"/>
      <c r="GT14" s="224" t="s">
        <v>35</v>
      </c>
      <c r="GU14" s="224"/>
      <c r="GV14" s="224"/>
      <c r="GW14" s="224"/>
      <c r="GX14" s="88"/>
      <c r="GY14" s="88"/>
      <c r="GZ14" s="225" t="s">
        <v>24</v>
      </c>
      <c r="HA14" s="225"/>
      <c r="HB14" s="225"/>
      <c r="HC14" s="225"/>
      <c r="HD14" s="112"/>
      <c r="HE14" s="112"/>
      <c r="HF14" s="224" t="s">
        <v>36</v>
      </c>
      <c r="HG14" s="224"/>
      <c r="HH14" s="224"/>
      <c r="HI14" s="224"/>
      <c r="HJ14" s="88"/>
      <c r="HK14" s="88"/>
      <c r="HL14" s="225" t="s">
        <v>25</v>
      </c>
      <c r="HM14" s="225"/>
      <c r="HN14" s="225"/>
      <c r="HO14" s="225"/>
      <c r="HP14" s="112"/>
      <c r="HQ14" s="112"/>
      <c r="HR14" s="224" t="s">
        <v>37</v>
      </c>
      <c r="HS14" s="224"/>
      <c r="HT14" s="224"/>
      <c r="HU14" s="224"/>
      <c r="HV14" s="88"/>
      <c r="HW14" s="88"/>
      <c r="HX14" s="225" t="s">
        <v>26</v>
      </c>
      <c r="HY14" s="225"/>
      <c r="HZ14" s="225"/>
      <c r="IA14" s="225"/>
      <c r="IB14" s="112"/>
      <c r="IC14" s="112"/>
      <c r="ID14" s="224" t="s">
        <v>38</v>
      </c>
      <c r="IE14" s="224"/>
      <c r="IF14" s="224"/>
      <c r="IG14" s="224"/>
      <c r="IH14" s="88"/>
      <c r="II14" s="88"/>
      <c r="IJ14" s="88"/>
      <c r="IK14" s="89"/>
      <c r="IL14" s="87"/>
      <c r="IM14" s="88"/>
      <c r="IN14" s="88"/>
      <c r="IO14" s="88"/>
      <c r="IP14" s="224" t="s">
        <v>34</v>
      </c>
      <c r="IQ14" s="224"/>
      <c r="IR14" s="224"/>
      <c r="IS14" s="224"/>
      <c r="IT14" s="88"/>
      <c r="IU14" s="88"/>
      <c r="IV14" s="225" t="s">
        <v>23</v>
      </c>
      <c r="IW14" s="225"/>
      <c r="IX14" s="225"/>
      <c r="IY14" s="225"/>
      <c r="IZ14" s="112"/>
      <c r="JA14" s="112"/>
      <c r="JB14" s="224" t="s">
        <v>35</v>
      </c>
      <c r="JC14" s="224"/>
      <c r="JD14" s="224"/>
      <c r="JE14" s="224"/>
      <c r="JF14" s="88"/>
      <c r="JG14" s="88"/>
      <c r="JH14" s="225" t="s">
        <v>24</v>
      </c>
      <c r="JI14" s="225"/>
      <c r="JJ14" s="225"/>
      <c r="JK14" s="225"/>
      <c r="JL14" s="112"/>
      <c r="JM14" s="112"/>
      <c r="JN14" s="224" t="s">
        <v>36</v>
      </c>
      <c r="JO14" s="224"/>
      <c r="JP14" s="224"/>
      <c r="JQ14" s="224"/>
      <c r="JR14" s="88"/>
      <c r="JS14" s="88"/>
      <c r="JT14" s="225" t="s">
        <v>25</v>
      </c>
      <c r="JU14" s="225"/>
      <c r="JV14" s="225"/>
      <c r="JW14" s="225"/>
      <c r="JX14" s="112"/>
      <c r="JY14" s="112"/>
      <c r="JZ14" s="224" t="s">
        <v>37</v>
      </c>
      <c r="KA14" s="224"/>
      <c r="KB14" s="224"/>
      <c r="KC14" s="224"/>
      <c r="KD14" s="88"/>
      <c r="KE14" s="88"/>
      <c r="KF14" s="225" t="s">
        <v>26</v>
      </c>
      <c r="KG14" s="225"/>
      <c r="KH14" s="225"/>
      <c r="KI14" s="225"/>
      <c r="KJ14" s="112"/>
      <c r="KK14" s="112"/>
      <c r="KL14" s="224" t="s">
        <v>38</v>
      </c>
      <c r="KM14" s="224"/>
      <c r="KN14" s="224"/>
      <c r="KO14" s="224"/>
      <c r="KP14" s="88"/>
      <c r="KQ14" s="88"/>
      <c r="KR14" s="88"/>
      <c r="KS14" s="89"/>
      <c r="KT14" s="87"/>
      <c r="KU14" s="88"/>
      <c r="KV14" s="88"/>
      <c r="KW14" s="88"/>
      <c r="KX14" s="224" t="s">
        <v>34</v>
      </c>
      <c r="KY14" s="224"/>
      <c r="KZ14" s="224"/>
      <c r="LA14" s="224"/>
      <c r="LB14" s="88"/>
      <c r="LC14" s="88"/>
      <c r="LD14" s="225" t="s">
        <v>23</v>
      </c>
      <c r="LE14" s="225"/>
      <c r="LF14" s="225"/>
      <c r="LG14" s="225"/>
      <c r="LH14" s="112"/>
      <c r="LI14" s="112"/>
      <c r="LJ14" s="224" t="s">
        <v>35</v>
      </c>
      <c r="LK14" s="224"/>
      <c r="LL14" s="224"/>
      <c r="LM14" s="224"/>
      <c r="LN14" s="88"/>
      <c r="LO14" s="88"/>
      <c r="LP14" s="225" t="s">
        <v>24</v>
      </c>
      <c r="LQ14" s="225"/>
      <c r="LR14" s="225"/>
      <c r="LS14" s="225"/>
      <c r="LT14" s="112"/>
      <c r="LU14" s="112"/>
      <c r="LV14" s="224" t="s">
        <v>36</v>
      </c>
      <c r="LW14" s="224"/>
      <c r="LX14" s="224"/>
      <c r="LY14" s="224"/>
      <c r="LZ14" s="88"/>
      <c r="MA14" s="88"/>
      <c r="MB14" s="225" t="s">
        <v>25</v>
      </c>
      <c r="MC14" s="225"/>
      <c r="MD14" s="225"/>
      <c r="ME14" s="225"/>
      <c r="MF14" s="112"/>
      <c r="MG14" s="112"/>
      <c r="MH14" s="224" t="s">
        <v>37</v>
      </c>
      <c r="MI14" s="224"/>
      <c r="MJ14" s="224"/>
      <c r="MK14" s="224"/>
      <c r="ML14" s="88"/>
      <c r="MM14" s="88"/>
      <c r="MN14" s="225" t="s">
        <v>26</v>
      </c>
      <c r="MO14" s="225"/>
      <c r="MP14" s="225"/>
      <c r="MQ14" s="225"/>
      <c r="MR14" s="112"/>
      <c r="MS14" s="112"/>
      <c r="MT14" s="224" t="s">
        <v>38</v>
      </c>
      <c r="MU14" s="224"/>
      <c r="MV14" s="224"/>
      <c r="MW14" s="224"/>
      <c r="MX14" s="88"/>
      <c r="MY14" s="88"/>
      <c r="MZ14" s="88"/>
      <c r="NA14" s="89"/>
      <c r="NB14" s="87"/>
      <c r="NC14" s="88"/>
      <c r="ND14" s="88"/>
      <c r="NE14" s="88"/>
      <c r="NF14" s="224" t="s">
        <v>34</v>
      </c>
      <c r="NG14" s="224"/>
      <c r="NH14" s="224"/>
      <c r="NI14" s="224"/>
      <c r="NJ14" s="88"/>
      <c r="NK14" s="88"/>
      <c r="NL14" s="225" t="s">
        <v>23</v>
      </c>
      <c r="NM14" s="225"/>
      <c r="NN14" s="225"/>
      <c r="NO14" s="225"/>
      <c r="NP14" s="112"/>
      <c r="NQ14" s="112"/>
      <c r="NR14" s="224" t="s">
        <v>35</v>
      </c>
      <c r="NS14" s="224"/>
      <c r="NT14" s="224"/>
      <c r="NU14" s="224"/>
      <c r="NV14" s="88"/>
      <c r="NW14" s="88"/>
      <c r="NX14" s="225" t="s">
        <v>24</v>
      </c>
      <c r="NY14" s="225"/>
      <c r="NZ14" s="225"/>
      <c r="OA14" s="225"/>
      <c r="OB14" s="112"/>
      <c r="OC14" s="112"/>
      <c r="OD14" s="224" t="s">
        <v>36</v>
      </c>
      <c r="OE14" s="224"/>
      <c r="OF14" s="224"/>
      <c r="OG14" s="224"/>
      <c r="OH14" s="88"/>
      <c r="OI14" s="88"/>
      <c r="OJ14" s="225" t="s">
        <v>25</v>
      </c>
      <c r="OK14" s="225"/>
      <c r="OL14" s="225"/>
      <c r="OM14" s="225"/>
      <c r="ON14" s="112"/>
      <c r="OO14" s="112"/>
      <c r="OP14" s="224" t="s">
        <v>37</v>
      </c>
      <c r="OQ14" s="224"/>
      <c r="OR14" s="224"/>
      <c r="OS14" s="224"/>
      <c r="OT14" s="88"/>
      <c r="OU14" s="88"/>
      <c r="OV14" s="225" t="s">
        <v>26</v>
      </c>
      <c r="OW14" s="225"/>
      <c r="OX14" s="225"/>
      <c r="OY14" s="225"/>
      <c r="OZ14" s="112"/>
      <c r="PA14" s="112"/>
      <c r="PB14" s="224" t="s">
        <v>38</v>
      </c>
      <c r="PC14" s="224"/>
      <c r="PD14" s="224"/>
      <c r="PE14" s="224"/>
      <c r="PF14" s="88"/>
      <c r="PG14" s="88"/>
      <c r="PH14" s="88"/>
      <c r="PI14" s="89"/>
      <c r="PJ14" s="87"/>
      <c r="PK14" s="88"/>
      <c r="PL14" s="88"/>
      <c r="PM14" s="88"/>
      <c r="PN14" s="224" t="s">
        <v>34</v>
      </c>
      <c r="PO14" s="224"/>
      <c r="PP14" s="224"/>
      <c r="PQ14" s="224"/>
      <c r="PR14" s="88"/>
      <c r="PS14" s="88"/>
      <c r="PT14" s="225" t="s">
        <v>23</v>
      </c>
      <c r="PU14" s="225"/>
      <c r="PV14" s="225"/>
      <c r="PW14" s="225"/>
      <c r="PX14" s="112"/>
      <c r="PY14" s="112"/>
      <c r="PZ14" s="224" t="s">
        <v>35</v>
      </c>
      <c r="QA14" s="224"/>
      <c r="QB14" s="224"/>
      <c r="QC14" s="224"/>
      <c r="QD14" s="88"/>
      <c r="QE14" s="88"/>
      <c r="QF14" s="225" t="s">
        <v>24</v>
      </c>
      <c r="QG14" s="225"/>
      <c r="QH14" s="225"/>
      <c r="QI14" s="225"/>
      <c r="QJ14" s="112"/>
      <c r="QK14" s="112"/>
      <c r="QL14" s="224" t="s">
        <v>36</v>
      </c>
      <c r="QM14" s="224"/>
      <c r="QN14" s="224"/>
      <c r="QO14" s="224"/>
      <c r="QP14" s="88"/>
      <c r="QQ14" s="88"/>
      <c r="QR14" s="225" t="s">
        <v>25</v>
      </c>
      <c r="QS14" s="225"/>
      <c r="QT14" s="225"/>
      <c r="QU14" s="225"/>
      <c r="QV14" s="112"/>
      <c r="QW14" s="112"/>
      <c r="QX14" s="224" t="s">
        <v>37</v>
      </c>
      <c r="QY14" s="224"/>
      <c r="QZ14" s="224"/>
      <c r="RA14" s="224"/>
      <c r="RB14" s="88"/>
      <c r="RC14" s="88"/>
      <c r="RD14" s="225" t="s">
        <v>26</v>
      </c>
      <c r="RE14" s="225"/>
      <c r="RF14" s="225"/>
      <c r="RG14" s="225"/>
      <c r="RH14" s="112"/>
      <c r="RI14" s="112"/>
      <c r="RJ14" s="224" t="s">
        <v>38</v>
      </c>
      <c r="RK14" s="224"/>
      <c r="RL14" s="224"/>
      <c r="RM14" s="224"/>
      <c r="RN14" s="88"/>
      <c r="RO14" s="88"/>
      <c r="RP14" s="88"/>
      <c r="RQ14" s="89"/>
      <c r="RR14" s="87"/>
      <c r="RS14" s="88"/>
      <c r="RT14" s="88"/>
      <c r="RU14" s="88"/>
      <c r="RV14" s="224" t="s">
        <v>34</v>
      </c>
      <c r="RW14" s="224"/>
      <c r="RX14" s="224"/>
      <c r="RY14" s="224"/>
      <c r="RZ14" s="88"/>
      <c r="SA14" s="88"/>
      <c r="SB14" s="225" t="s">
        <v>23</v>
      </c>
      <c r="SC14" s="225"/>
      <c r="SD14" s="225"/>
      <c r="SE14" s="225"/>
      <c r="SF14" s="112"/>
      <c r="SG14" s="112"/>
      <c r="SH14" s="224" t="s">
        <v>35</v>
      </c>
      <c r="SI14" s="224"/>
      <c r="SJ14" s="224"/>
      <c r="SK14" s="224"/>
      <c r="SL14" s="88"/>
      <c r="SM14" s="88"/>
      <c r="SN14" s="225" t="s">
        <v>24</v>
      </c>
      <c r="SO14" s="225"/>
      <c r="SP14" s="225"/>
      <c r="SQ14" s="225"/>
      <c r="SR14" s="112"/>
      <c r="SS14" s="112"/>
      <c r="ST14" s="224" t="s">
        <v>36</v>
      </c>
      <c r="SU14" s="224"/>
      <c r="SV14" s="224"/>
      <c r="SW14" s="224"/>
      <c r="SX14" s="88"/>
      <c r="SY14" s="88"/>
      <c r="SZ14" s="225" t="s">
        <v>25</v>
      </c>
      <c r="TA14" s="225"/>
      <c r="TB14" s="225"/>
      <c r="TC14" s="225"/>
      <c r="TD14" s="112"/>
      <c r="TE14" s="112"/>
      <c r="TF14" s="224" t="s">
        <v>37</v>
      </c>
      <c r="TG14" s="224"/>
      <c r="TH14" s="224"/>
      <c r="TI14" s="224"/>
      <c r="TJ14" s="88"/>
      <c r="TK14" s="88"/>
      <c r="TL14" s="225" t="s">
        <v>26</v>
      </c>
      <c r="TM14" s="225"/>
      <c r="TN14" s="225"/>
      <c r="TO14" s="225"/>
      <c r="TP14" s="112"/>
      <c r="TQ14" s="112"/>
      <c r="TR14" s="224" t="s">
        <v>38</v>
      </c>
      <c r="TS14" s="224"/>
      <c r="TT14" s="224"/>
      <c r="TU14" s="224"/>
      <c r="TV14" s="88"/>
      <c r="TW14" s="88"/>
      <c r="TX14" s="88"/>
      <c r="TY14" s="89"/>
      <c r="TZ14" s="87"/>
      <c r="UA14" s="88"/>
      <c r="UB14" s="88"/>
      <c r="UC14" s="88"/>
      <c r="UD14" s="224" t="s">
        <v>34</v>
      </c>
      <c r="UE14" s="224"/>
      <c r="UF14" s="224"/>
      <c r="UG14" s="224"/>
      <c r="UH14" s="88"/>
      <c r="UI14" s="88"/>
      <c r="UJ14" s="225" t="s">
        <v>23</v>
      </c>
      <c r="UK14" s="225"/>
      <c r="UL14" s="225"/>
      <c r="UM14" s="225"/>
      <c r="UN14" s="112"/>
      <c r="UO14" s="112"/>
      <c r="UP14" s="224" t="s">
        <v>35</v>
      </c>
      <c r="UQ14" s="224"/>
      <c r="UR14" s="224"/>
      <c r="US14" s="224"/>
      <c r="UT14" s="88"/>
      <c r="UU14" s="88"/>
      <c r="UV14" s="225" t="s">
        <v>24</v>
      </c>
      <c r="UW14" s="225"/>
      <c r="UX14" s="225"/>
      <c r="UY14" s="225"/>
      <c r="UZ14" s="112"/>
      <c r="VA14" s="112"/>
      <c r="VB14" s="224" t="s">
        <v>36</v>
      </c>
      <c r="VC14" s="224"/>
      <c r="VD14" s="224"/>
      <c r="VE14" s="224"/>
      <c r="VF14" s="88"/>
      <c r="VG14" s="88"/>
      <c r="VH14" s="225" t="s">
        <v>25</v>
      </c>
      <c r="VI14" s="225"/>
      <c r="VJ14" s="225"/>
      <c r="VK14" s="225"/>
      <c r="VL14" s="112"/>
      <c r="VM14" s="112"/>
      <c r="VN14" s="224" t="s">
        <v>37</v>
      </c>
      <c r="VO14" s="224"/>
      <c r="VP14" s="224"/>
      <c r="VQ14" s="224"/>
      <c r="VR14" s="88"/>
      <c r="VS14" s="88"/>
      <c r="VT14" s="225" t="s">
        <v>26</v>
      </c>
      <c r="VU14" s="225"/>
      <c r="VV14" s="225"/>
      <c r="VW14" s="225"/>
      <c r="VX14" s="112"/>
      <c r="VY14" s="112"/>
      <c r="VZ14" s="224" t="s">
        <v>38</v>
      </c>
      <c r="WA14" s="224"/>
      <c r="WB14" s="224"/>
      <c r="WC14" s="224"/>
      <c r="WD14" s="88"/>
      <c r="WE14" s="88"/>
      <c r="WF14" s="88"/>
      <c r="WG14" s="89"/>
      <c r="WH14" s="87"/>
      <c r="WI14" s="88"/>
      <c r="WJ14" s="88"/>
      <c r="WK14" s="88"/>
      <c r="WL14" s="224" t="s">
        <v>34</v>
      </c>
      <c r="WM14" s="224"/>
      <c r="WN14" s="224"/>
      <c r="WO14" s="224"/>
      <c r="WP14" s="88"/>
      <c r="WQ14" s="88"/>
      <c r="WR14" s="225" t="s">
        <v>23</v>
      </c>
      <c r="WS14" s="225"/>
      <c r="WT14" s="225"/>
      <c r="WU14" s="225"/>
      <c r="WV14" s="112"/>
      <c r="WW14" s="112"/>
      <c r="WX14" s="224" t="s">
        <v>35</v>
      </c>
      <c r="WY14" s="224"/>
      <c r="WZ14" s="224"/>
      <c r="XA14" s="224"/>
      <c r="XB14" s="88"/>
      <c r="XC14" s="88"/>
      <c r="XD14" s="225" t="s">
        <v>24</v>
      </c>
      <c r="XE14" s="225"/>
      <c r="XF14" s="225"/>
      <c r="XG14" s="225"/>
      <c r="XH14" s="112"/>
      <c r="XI14" s="112"/>
      <c r="XJ14" s="224" t="s">
        <v>36</v>
      </c>
      <c r="XK14" s="224"/>
      <c r="XL14" s="224"/>
      <c r="XM14" s="224"/>
      <c r="XN14" s="88"/>
      <c r="XO14" s="88"/>
      <c r="XP14" s="225" t="s">
        <v>25</v>
      </c>
      <c r="XQ14" s="225"/>
      <c r="XR14" s="225"/>
      <c r="XS14" s="225"/>
      <c r="XT14" s="112"/>
      <c r="XU14" s="112"/>
      <c r="XV14" s="224" t="s">
        <v>37</v>
      </c>
      <c r="XW14" s="224"/>
      <c r="XX14" s="224"/>
      <c r="XY14" s="224"/>
      <c r="XZ14" s="88"/>
      <c r="YA14" s="88"/>
      <c r="YB14" s="225" t="s">
        <v>26</v>
      </c>
      <c r="YC14" s="225"/>
      <c r="YD14" s="225"/>
      <c r="YE14" s="225"/>
      <c r="YF14" s="112"/>
      <c r="YG14" s="112"/>
      <c r="YH14" s="224" t="s">
        <v>38</v>
      </c>
      <c r="YI14" s="224"/>
      <c r="YJ14" s="224"/>
      <c r="YK14" s="224"/>
      <c r="YL14" s="88"/>
      <c r="YM14" s="88"/>
      <c r="YN14" s="88"/>
      <c r="YO14" s="89"/>
      <c r="YP14" s="87"/>
      <c r="YQ14" s="88"/>
      <c r="YR14" s="88"/>
      <c r="YS14" s="88"/>
      <c r="YT14" s="224" t="s">
        <v>34</v>
      </c>
      <c r="YU14" s="224"/>
      <c r="YV14" s="224"/>
      <c r="YW14" s="224"/>
      <c r="YX14" s="88"/>
      <c r="YY14" s="88"/>
      <c r="YZ14" s="225" t="s">
        <v>23</v>
      </c>
      <c r="ZA14" s="225"/>
      <c r="ZB14" s="225"/>
      <c r="ZC14" s="225"/>
      <c r="ZD14" s="112"/>
      <c r="ZE14" s="112"/>
      <c r="ZF14" s="224" t="s">
        <v>35</v>
      </c>
      <c r="ZG14" s="224"/>
      <c r="ZH14" s="224"/>
      <c r="ZI14" s="224"/>
      <c r="ZJ14" s="88"/>
      <c r="ZK14" s="88"/>
      <c r="ZL14" s="225" t="s">
        <v>24</v>
      </c>
      <c r="ZM14" s="225"/>
      <c r="ZN14" s="225"/>
      <c r="ZO14" s="225"/>
      <c r="ZP14" s="112"/>
      <c r="ZQ14" s="112"/>
      <c r="ZR14" s="224" t="s">
        <v>36</v>
      </c>
      <c r="ZS14" s="224"/>
      <c r="ZT14" s="224"/>
      <c r="ZU14" s="224"/>
      <c r="ZV14" s="88"/>
      <c r="ZW14" s="88"/>
      <c r="ZX14" s="225" t="s">
        <v>25</v>
      </c>
      <c r="ZY14" s="225"/>
      <c r="ZZ14" s="225"/>
      <c r="AAA14" s="225"/>
      <c r="AAB14" s="112"/>
      <c r="AAC14" s="112"/>
      <c r="AAD14" s="224" t="s">
        <v>37</v>
      </c>
      <c r="AAE14" s="224"/>
      <c r="AAF14" s="224"/>
      <c r="AAG14" s="224"/>
      <c r="AAH14" s="88"/>
      <c r="AAI14" s="88"/>
      <c r="AAJ14" s="225" t="s">
        <v>26</v>
      </c>
      <c r="AAK14" s="225"/>
      <c r="AAL14" s="225"/>
      <c r="AAM14" s="225"/>
      <c r="AAN14" s="112"/>
      <c r="AAO14" s="112"/>
      <c r="AAP14" s="224" t="s">
        <v>38</v>
      </c>
      <c r="AAQ14" s="224"/>
      <c r="AAR14" s="224"/>
      <c r="AAS14" s="224"/>
      <c r="AAT14" s="88"/>
      <c r="AAU14" s="88"/>
      <c r="AAV14" s="88"/>
      <c r="AAW14" s="89"/>
      <c r="AAX14" s="87"/>
      <c r="AAY14" s="88"/>
      <c r="AAZ14" s="88"/>
      <c r="ABA14" s="88"/>
      <c r="ABB14" s="224" t="s">
        <v>34</v>
      </c>
      <c r="ABC14" s="224"/>
      <c r="ABD14" s="224"/>
      <c r="ABE14" s="224"/>
      <c r="ABF14" s="88"/>
      <c r="ABG14" s="88"/>
      <c r="ABH14" s="225" t="s">
        <v>23</v>
      </c>
      <c r="ABI14" s="225"/>
      <c r="ABJ14" s="225"/>
      <c r="ABK14" s="225"/>
      <c r="ABL14" s="112"/>
      <c r="ABM14" s="112"/>
      <c r="ABN14" s="224" t="s">
        <v>35</v>
      </c>
      <c r="ABO14" s="224"/>
      <c r="ABP14" s="224"/>
      <c r="ABQ14" s="224"/>
      <c r="ABR14" s="88"/>
      <c r="ABS14" s="88"/>
      <c r="ABT14" s="225" t="s">
        <v>24</v>
      </c>
      <c r="ABU14" s="225"/>
      <c r="ABV14" s="225"/>
      <c r="ABW14" s="225"/>
      <c r="ABX14" s="112"/>
      <c r="ABY14" s="112"/>
      <c r="ABZ14" s="224" t="s">
        <v>36</v>
      </c>
      <c r="ACA14" s="224"/>
      <c r="ACB14" s="224"/>
      <c r="ACC14" s="224"/>
      <c r="ACD14" s="88"/>
      <c r="ACE14" s="88"/>
      <c r="ACF14" s="225" t="s">
        <v>25</v>
      </c>
      <c r="ACG14" s="225"/>
      <c r="ACH14" s="225"/>
      <c r="ACI14" s="225"/>
      <c r="ACJ14" s="112"/>
      <c r="ACK14" s="112"/>
      <c r="ACL14" s="224" t="s">
        <v>37</v>
      </c>
      <c r="ACM14" s="224"/>
      <c r="ACN14" s="224"/>
      <c r="ACO14" s="224"/>
      <c r="ACP14" s="88"/>
      <c r="ACQ14" s="88"/>
      <c r="ACR14" s="225" t="s">
        <v>26</v>
      </c>
      <c r="ACS14" s="225"/>
      <c r="ACT14" s="225"/>
      <c r="ACU14" s="225"/>
      <c r="ACV14" s="112"/>
      <c r="ACW14" s="112"/>
      <c r="ACX14" s="224" t="s">
        <v>38</v>
      </c>
      <c r="ACY14" s="224"/>
      <c r="ACZ14" s="224"/>
      <c r="ADA14" s="224"/>
      <c r="ADB14" s="88"/>
      <c r="ADC14" s="88"/>
      <c r="ADD14" s="88"/>
      <c r="ADE14" s="89"/>
      <c r="ADF14" s="87"/>
      <c r="ADG14" s="88"/>
      <c r="ADH14" s="88"/>
      <c r="ADI14" s="88"/>
      <c r="ADJ14" s="224" t="s">
        <v>34</v>
      </c>
      <c r="ADK14" s="224"/>
      <c r="ADL14" s="224"/>
      <c r="ADM14" s="224"/>
      <c r="ADN14" s="88"/>
      <c r="ADO14" s="88"/>
      <c r="ADP14" s="225" t="s">
        <v>23</v>
      </c>
      <c r="ADQ14" s="225"/>
      <c r="ADR14" s="225"/>
      <c r="ADS14" s="225"/>
      <c r="ADT14" s="112"/>
      <c r="ADU14" s="112"/>
      <c r="ADV14" s="224" t="s">
        <v>35</v>
      </c>
      <c r="ADW14" s="224"/>
      <c r="ADX14" s="224"/>
      <c r="ADY14" s="224"/>
      <c r="ADZ14" s="88"/>
      <c r="AEA14" s="88"/>
      <c r="AEB14" s="225" t="s">
        <v>24</v>
      </c>
      <c r="AEC14" s="225"/>
      <c r="AED14" s="225"/>
      <c r="AEE14" s="225"/>
      <c r="AEF14" s="112"/>
      <c r="AEG14" s="112"/>
      <c r="AEH14" s="224" t="s">
        <v>36</v>
      </c>
      <c r="AEI14" s="224"/>
      <c r="AEJ14" s="224"/>
      <c r="AEK14" s="224"/>
      <c r="AEL14" s="88"/>
      <c r="AEM14" s="88"/>
      <c r="AEN14" s="225" t="s">
        <v>25</v>
      </c>
      <c r="AEO14" s="225"/>
      <c r="AEP14" s="225"/>
      <c r="AEQ14" s="225"/>
      <c r="AER14" s="112"/>
      <c r="AES14" s="112"/>
      <c r="AET14" s="224" t="s">
        <v>37</v>
      </c>
      <c r="AEU14" s="224"/>
      <c r="AEV14" s="224"/>
      <c r="AEW14" s="224"/>
      <c r="AEX14" s="88"/>
      <c r="AEY14" s="88"/>
      <c r="AEZ14" s="225" t="s">
        <v>26</v>
      </c>
      <c r="AFA14" s="225"/>
      <c r="AFB14" s="225"/>
      <c r="AFC14" s="225"/>
      <c r="AFD14" s="112"/>
      <c r="AFE14" s="112"/>
      <c r="AFF14" s="224" t="s">
        <v>38</v>
      </c>
      <c r="AFG14" s="224"/>
      <c r="AFH14" s="224"/>
      <c r="AFI14" s="224"/>
      <c r="AFJ14" s="88"/>
      <c r="AFK14" s="88"/>
      <c r="AFL14" s="88"/>
      <c r="AFM14" s="89"/>
      <c r="AFN14" s="87"/>
      <c r="AFO14" s="88"/>
      <c r="AFP14" s="88"/>
      <c r="AFQ14" s="88"/>
      <c r="AFR14" s="224" t="s">
        <v>34</v>
      </c>
      <c r="AFS14" s="224"/>
      <c r="AFT14" s="224"/>
      <c r="AFU14" s="224"/>
      <c r="AFV14" s="88"/>
      <c r="AFW14" s="88"/>
      <c r="AFX14" s="225" t="s">
        <v>23</v>
      </c>
      <c r="AFY14" s="225"/>
      <c r="AFZ14" s="225"/>
      <c r="AGA14" s="225"/>
      <c r="AGB14" s="112"/>
      <c r="AGC14" s="112"/>
      <c r="AGD14" s="224" t="s">
        <v>35</v>
      </c>
      <c r="AGE14" s="224"/>
      <c r="AGF14" s="224"/>
      <c r="AGG14" s="224"/>
      <c r="AGH14" s="88"/>
      <c r="AGI14" s="88"/>
      <c r="AGJ14" s="225" t="s">
        <v>24</v>
      </c>
      <c r="AGK14" s="225"/>
      <c r="AGL14" s="225"/>
      <c r="AGM14" s="225"/>
      <c r="AGN14" s="112"/>
      <c r="AGO14" s="112"/>
      <c r="AGP14" s="224" t="s">
        <v>36</v>
      </c>
      <c r="AGQ14" s="224"/>
      <c r="AGR14" s="224"/>
      <c r="AGS14" s="224"/>
      <c r="AGT14" s="88"/>
      <c r="AGU14" s="88"/>
      <c r="AGV14" s="225" t="s">
        <v>25</v>
      </c>
      <c r="AGW14" s="225"/>
      <c r="AGX14" s="225"/>
      <c r="AGY14" s="225"/>
      <c r="AGZ14" s="112"/>
      <c r="AHA14" s="112"/>
      <c r="AHB14" s="224" t="s">
        <v>37</v>
      </c>
      <c r="AHC14" s="224"/>
      <c r="AHD14" s="224"/>
      <c r="AHE14" s="224"/>
      <c r="AHF14" s="88"/>
      <c r="AHG14" s="88"/>
      <c r="AHH14" s="225" t="s">
        <v>26</v>
      </c>
      <c r="AHI14" s="225"/>
      <c r="AHJ14" s="225"/>
      <c r="AHK14" s="225"/>
      <c r="AHL14" s="112"/>
      <c r="AHM14" s="112"/>
      <c r="AHN14" s="224" t="s">
        <v>38</v>
      </c>
      <c r="AHO14" s="224"/>
      <c r="AHP14" s="224"/>
      <c r="AHQ14" s="224"/>
      <c r="AHR14" s="88"/>
      <c r="AHS14" s="88"/>
      <c r="AHT14" s="88"/>
      <c r="AHU14" s="89"/>
      <c r="AHV14" s="87"/>
      <c r="AHW14" s="88"/>
      <c r="AHX14" s="88"/>
      <c r="AHY14" s="88"/>
      <c r="AHZ14" s="224" t="s">
        <v>34</v>
      </c>
      <c r="AIA14" s="224"/>
      <c r="AIB14" s="224"/>
      <c r="AIC14" s="224"/>
      <c r="AID14" s="88"/>
      <c r="AIE14" s="88"/>
      <c r="AIF14" s="225" t="s">
        <v>23</v>
      </c>
      <c r="AIG14" s="225"/>
      <c r="AIH14" s="225"/>
      <c r="AII14" s="225"/>
      <c r="AIJ14" s="112"/>
      <c r="AIK14" s="112"/>
      <c r="AIL14" s="224" t="s">
        <v>35</v>
      </c>
      <c r="AIM14" s="224"/>
      <c r="AIN14" s="224"/>
      <c r="AIO14" s="224"/>
      <c r="AIP14" s="88"/>
      <c r="AIQ14" s="88"/>
      <c r="AIR14" s="225" t="s">
        <v>24</v>
      </c>
      <c r="AIS14" s="225"/>
      <c r="AIT14" s="225"/>
      <c r="AIU14" s="225"/>
      <c r="AIV14" s="112"/>
      <c r="AIW14" s="112"/>
      <c r="AIX14" s="224" t="s">
        <v>36</v>
      </c>
      <c r="AIY14" s="224"/>
      <c r="AIZ14" s="224"/>
      <c r="AJA14" s="224"/>
      <c r="AJB14" s="88"/>
      <c r="AJC14" s="88"/>
      <c r="AJD14" s="225" t="s">
        <v>25</v>
      </c>
      <c r="AJE14" s="225"/>
      <c r="AJF14" s="225"/>
      <c r="AJG14" s="225"/>
      <c r="AJH14" s="112"/>
      <c r="AJI14" s="112"/>
      <c r="AJJ14" s="224" t="s">
        <v>37</v>
      </c>
      <c r="AJK14" s="224"/>
      <c r="AJL14" s="224"/>
      <c r="AJM14" s="224"/>
      <c r="AJN14" s="88"/>
      <c r="AJO14" s="88"/>
      <c r="AJP14" s="225" t="s">
        <v>26</v>
      </c>
      <c r="AJQ14" s="225"/>
      <c r="AJR14" s="225"/>
      <c r="AJS14" s="225"/>
      <c r="AJT14" s="112"/>
      <c r="AJU14" s="112"/>
      <c r="AJV14" s="224" t="s">
        <v>38</v>
      </c>
      <c r="AJW14" s="224"/>
      <c r="AJX14" s="224"/>
      <c r="AJY14" s="224"/>
      <c r="AJZ14" s="88"/>
      <c r="AKA14" s="88"/>
      <c r="AKB14" s="88"/>
      <c r="AKC14" s="89"/>
      <c r="AKD14" s="87"/>
      <c r="AKE14" s="88"/>
      <c r="AKF14" s="88"/>
      <c r="AKG14" s="88"/>
      <c r="AKH14" s="224" t="s">
        <v>34</v>
      </c>
      <c r="AKI14" s="224"/>
      <c r="AKJ14" s="224"/>
      <c r="AKK14" s="224"/>
      <c r="AKL14" s="88"/>
      <c r="AKM14" s="88"/>
      <c r="AKN14" s="225" t="s">
        <v>23</v>
      </c>
      <c r="AKO14" s="225"/>
      <c r="AKP14" s="225"/>
      <c r="AKQ14" s="225"/>
      <c r="AKR14" s="112"/>
      <c r="AKS14" s="112"/>
      <c r="AKT14" s="224" t="s">
        <v>35</v>
      </c>
      <c r="AKU14" s="224"/>
      <c r="AKV14" s="224"/>
      <c r="AKW14" s="224"/>
      <c r="AKX14" s="88"/>
      <c r="AKY14" s="88"/>
      <c r="AKZ14" s="225" t="s">
        <v>24</v>
      </c>
      <c r="ALA14" s="225"/>
      <c r="ALB14" s="225"/>
      <c r="ALC14" s="225"/>
      <c r="ALD14" s="112"/>
      <c r="ALE14" s="112"/>
      <c r="ALF14" s="224" t="s">
        <v>36</v>
      </c>
      <c r="ALG14" s="224"/>
      <c r="ALH14" s="224"/>
      <c r="ALI14" s="224"/>
      <c r="ALJ14" s="88"/>
      <c r="ALK14" s="88"/>
      <c r="ALL14" s="225" t="s">
        <v>25</v>
      </c>
      <c r="ALM14" s="225"/>
      <c r="ALN14" s="225"/>
      <c r="ALO14" s="225"/>
      <c r="ALP14" s="112"/>
      <c r="ALQ14" s="112"/>
      <c r="ALR14" s="224" t="s">
        <v>37</v>
      </c>
      <c r="ALS14" s="224"/>
      <c r="ALT14" s="224"/>
      <c r="ALU14" s="224"/>
      <c r="ALV14" s="88"/>
      <c r="ALW14" s="88"/>
      <c r="ALX14" s="225" t="s">
        <v>26</v>
      </c>
      <c r="ALY14" s="225"/>
      <c r="ALZ14" s="225"/>
      <c r="AMA14" s="225"/>
      <c r="AMB14" s="112"/>
      <c r="AMC14" s="112"/>
      <c r="AMD14" s="224" t="s">
        <v>38</v>
      </c>
      <c r="AME14" s="224"/>
      <c r="AMF14" s="224"/>
      <c r="AMG14" s="224"/>
      <c r="AMH14" s="88"/>
      <c r="AMI14" s="88"/>
      <c r="AMJ14" s="88"/>
      <c r="AMK14" s="89"/>
      <c r="AML14" s="87"/>
      <c r="AMM14" s="88"/>
      <c r="AMN14" s="88"/>
      <c r="AMO14" s="88"/>
      <c r="AMP14" s="224" t="s">
        <v>34</v>
      </c>
      <c r="AMQ14" s="224"/>
      <c r="AMR14" s="224"/>
      <c r="AMS14" s="224"/>
      <c r="AMT14" s="88"/>
      <c r="AMU14" s="88"/>
      <c r="AMV14" s="225" t="s">
        <v>23</v>
      </c>
      <c r="AMW14" s="225"/>
      <c r="AMX14" s="225"/>
      <c r="AMY14" s="225"/>
      <c r="AMZ14" s="112"/>
      <c r="ANA14" s="112"/>
      <c r="ANB14" s="224" t="s">
        <v>35</v>
      </c>
      <c r="ANC14" s="224"/>
      <c r="AND14" s="224"/>
      <c r="ANE14" s="224"/>
      <c r="ANF14" s="88"/>
      <c r="ANG14" s="88"/>
      <c r="ANH14" s="225" t="s">
        <v>24</v>
      </c>
      <c r="ANI14" s="225"/>
      <c r="ANJ14" s="225"/>
      <c r="ANK14" s="225"/>
      <c r="ANL14" s="112"/>
      <c r="ANM14" s="112"/>
      <c r="ANN14" s="224" t="s">
        <v>36</v>
      </c>
      <c r="ANO14" s="224"/>
      <c r="ANP14" s="224"/>
      <c r="ANQ14" s="224"/>
      <c r="ANR14" s="88"/>
      <c r="ANS14" s="88"/>
      <c r="ANT14" s="225" t="s">
        <v>25</v>
      </c>
      <c r="ANU14" s="225"/>
      <c r="ANV14" s="225"/>
      <c r="ANW14" s="225"/>
      <c r="ANX14" s="112"/>
      <c r="ANY14" s="112"/>
      <c r="ANZ14" s="224" t="s">
        <v>37</v>
      </c>
      <c r="AOA14" s="224"/>
      <c r="AOB14" s="224"/>
      <c r="AOC14" s="224"/>
      <c r="AOD14" s="88"/>
      <c r="AOE14" s="88"/>
      <c r="AOF14" s="225" t="s">
        <v>26</v>
      </c>
      <c r="AOG14" s="225"/>
      <c r="AOH14" s="225"/>
      <c r="AOI14" s="225"/>
      <c r="AOJ14" s="112"/>
      <c r="AOK14" s="112"/>
      <c r="AOL14" s="224" t="s">
        <v>38</v>
      </c>
      <c r="AOM14" s="224"/>
      <c r="AON14" s="224"/>
      <c r="AOO14" s="224"/>
      <c r="AOP14" s="88"/>
      <c r="AOQ14" s="88"/>
      <c r="AOR14" s="88"/>
      <c r="AOS14" s="89"/>
      <c r="AOT14" s="87"/>
      <c r="AOU14" s="88"/>
      <c r="AOV14" s="88"/>
      <c r="AOW14" s="88"/>
      <c r="AOX14" s="224" t="s">
        <v>34</v>
      </c>
      <c r="AOY14" s="224"/>
      <c r="AOZ14" s="224"/>
      <c r="APA14" s="224"/>
      <c r="APB14" s="88"/>
      <c r="APC14" s="88"/>
      <c r="APD14" s="225" t="s">
        <v>23</v>
      </c>
      <c r="APE14" s="225"/>
      <c r="APF14" s="225"/>
      <c r="APG14" s="225"/>
      <c r="APH14" s="112"/>
      <c r="API14" s="112"/>
      <c r="APJ14" s="224" t="s">
        <v>35</v>
      </c>
      <c r="APK14" s="224"/>
      <c r="APL14" s="224"/>
      <c r="APM14" s="224"/>
      <c r="APN14" s="88"/>
      <c r="APO14" s="88"/>
      <c r="APP14" s="225" t="s">
        <v>24</v>
      </c>
      <c r="APQ14" s="225"/>
      <c r="APR14" s="225"/>
      <c r="APS14" s="225"/>
      <c r="APT14" s="112"/>
      <c r="APU14" s="112"/>
      <c r="APV14" s="224" t="s">
        <v>36</v>
      </c>
      <c r="APW14" s="224"/>
      <c r="APX14" s="224"/>
      <c r="APY14" s="224"/>
      <c r="APZ14" s="88"/>
      <c r="AQA14" s="88"/>
      <c r="AQB14" s="225" t="s">
        <v>25</v>
      </c>
      <c r="AQC14" s="225"/>
      <c r="AQD14" s="225"/>
      <c r="AQE14" s="225"/>
      <c r="AQF14" s="112"/>
      <c r="AQG14" s="112"/>
      <c r="AQH14" s="224" t="s">
        <v>37</v>
      </c>
      <c r="AQI14" s="224"/>
      <c r="AQJ14" s="224"/>
      <c r="AQK14" s="224"/>
      <c r="AQL14" s="88"/>
      <c r="AQM14" s="88"/>
      <c r="AQN14" s="225" t="s">
        <v>26</v>
      </c>
      <c r="AQO14" s="225"/>
      <c r="AQP14" s="225"/>
      <c r="AQQ14" s="225"/>
      <c r="AQR14" s="112"/>
      <c r="AQS14" s="112"/>
      <c r="AQT14" s="224" t="s">
        <v>38</v>
      </c>
      <c r="AQU14" s="224"/>
      <c r="AQV14" s="224"/>
      <c r="AQW14" s="224"/>
      <c r="AQX14" s="88"/>
      <c r="AQY14" s="88"/>
      <c r="AQZ14" s="88"/>
      <c r="ARA14" s="89"/>
      <c r="ARB14" s="87"/>
      <c r="ARC14" s="88"/>
      <c r="ARD14" s="88"/>
      <c r="ARE14" s="88"/>
      <c r="ARF14" s="224" t="s">
        <v>34</v>
      </c>
      <c r="ARG14" s="224"/>
      <c r="ARH14" s="224"/>
      <c r="ARI14" s="224"/>
      <c r="ARJ14" s="88"/>
      <c r="ARK14" s="88"/>
      <c r="ARL14" s="225" t="s">
        <v>23</v>
      </c>
      <c r="ARM14" s="225"/>
      <c r="ARN14" s="225"/>
      <c r="ARO14" s="225"/>
      <c r="ARP14" s="112"/>
      <c r="ARQ14" s="112"/>
      <c r="ARR14" s="224" t="s">
        <v>35</v>
      </c>
      <c r="ARS14" s="224"/>
      <c r="ART14" s="224"/>
      <c r="ARU14" s="224"/>
      <c r="ARV14" s="88"/>
      <c r="ARW14" s="88"/>
      <c r="ARX14" s="225" t="s">
        <v>24</v>
      </c>
      <c r="ARY14" s="225"/>
      <c r="ARZ14" s="225"/>
      <c r="ASA14" s="225"/>
      <c r="ASB14" s="112"/>
      <c r="ASC14" s="112"/>
      <c r="ASD14" s="224" t="s">
        <v>36</v>
      </c>
      <c r="ASE14" s="224"/>
      <c r="ASF14" s="224"/>
      <c r="ASG14" s="224"/>
      <c r="ASH14" s="88"/>
      <c r="ASI14" s="88"/>
      <c r="ASJ14" s="225" t="s">
        <v>25</v>
      </c>
      <c r="ASK14" s="225"/>
      <c r="ASL14" s="225"/>
      <c r="ASM14" s="225"/>
      <c r="ASN14" s="112"/>
      <c r="ASO14" s="112"/>
      <c r="ASP14" s="224" t="s">
        <v>37</v>
      </c>
      <c r="ASQ14" s="224"/>
      <c r="ASR14" s="224"/>
      <c r="ASS14" s="224"/>
      <c r="AST14" s="88"/>
      <c r="ASU14" s="88"/>
      <c r="ASV14" s="225" t="s">
        <v>26</v>
      </c>
      <c r="ASW14" s="225"/>
      <c r="ASX14" s="225"/>
      <c r="ASY14" s="225"/>
      <c r="ASZ14" s="112"/>
      <c r="ATA14" s="112"/>
      <c r="ATB14" s="224" t="s">
        <v>38</v>
      </c>
      <c r="ATC14" s="224"/>
      <c r="ATD14" s="224"/>
      <c r="ATE14" s="224"/>
      <c r="ATF14" s="88"/>
      <c r="ATG14" s="88"/>
      <c r="ATH14" s="88"/>
      <c r="ATI14" s="89"/>
      <c r="ATJ14" s="87"/>
      <c r="ATK14" s="88"/>
      <c r="ATL14" s="88"/>
      <c r="ATM14" s="88"/>
      <c r="ATN14" s="224" t="s">
        <v>34</v>
      </c>
      <c r="ATO14" s="224"/>
      <c r="ATP14" s="224"/>
      <c r="ATQ14" s="224"/>
      <c r="ATR14" s="88"/>
      <c r="ATS14" s="88"/>
      <c r="ATT14" s="225" t="s">
        <v>23</v>
      </c>
      <c r="ATU14" s="225"/>
      <c r="ATV14" s="225"/>
      <c r="ATW14" s="225"/>
      <c r="ATX14" s="112"/>
      <c r="ATY14" s="112"/>
      <c r="ATZ14" s="224" t="s">
        <v>35</v>
      </c>
      <c r="AUA14" s="224"/>
      <c r="AUB14" s="224"/>
      <c r="AUC14" s="224"/>
      <c r="AUD14" s="88"/>
      <c r="AUE14" s="88"/>
      <c r="AUF14" s="225" t="s">
        <v>24</v>
      </c>
      <c r="AUG14" s="225"/>
      <c r="AUH14" s="225"/>
      <c r="AUI14" s="225"/>
      <c r="AUJ14" s="112"/>
      <c r="AUK14" s="112"/>
      <c r="AUL14" s="224" t="s">
        <v>36</v>
      </c>
      <c r="AUM14" s="224"/>
      <c r="AUN14" s="224"/>
      <c r="AUO14" s="224"/>
      <c r="AUP14" s="88"/>
      <c r="AUQ14" s="88"/>
      <c r="AUR14" s="225" t="s">
        <v>25</v>
      </c>
      <c r="AUS14" s="225"/>
      <c r="AUT14" s="225"/>
      <c r="AUU14" s="225"/>
      <c r="AUV14" s="112"/>
      <c r="AUW14" s="112"/>
      <c r="AUX14" s="224" t="s">
        <v>37</v>
      </c>
      <c r="AUY14" s="224"/>
      <c r="AUZ14" s="224"/>
      <c r="AVA14" s="224"/>
      <c r="AVB14" s="88"/>
      <c r="AVC14" s="88"/>
      <c r="AVD14" s="225" t="s">
        <v>26</v>
      </c>
      <c r="AVE14" s="225"/>
      <c r="AVF14" s="225"/>
      <c r="AVG14" s="225"/>
      <c r="AVH14" s="112"/>
      <c r="AVI14" s="112"/>
      <c r="AVJ14" s="224" t="s">
        <v>38</v>
      </c>
      <c r="AVK14" s="224"/>
      <c r="AVL14" s="224"/>
      <c r="AVM14" s="224"/>
      <c r="AVN14" s="88"/>
      <c r="AVO14" s="88"/>
      <c r="AVP14" s="88"/>
      <c r="AVQ14" s="89"/>
      <c r="AVR14" s="87"/>
      <c r="AVS14" s="88"/>
      <c r="AVT14" s="88"/>
      <c r="AVU14" s="88"/>
      <c r="AVV14" s="224" t="s">
        <v>34</v>
      </c>
      <c r="AVW14" s="224"/>
      <c r="AVX14" s="224"/>
      <c r="AVY14" s="224"/>
      <c r="AVZ14" s="88"/>
      <c r="AWA14" s="88"/>
      <c r="AWB14" s="225" t="s">
        <v>23</v>
      </c>
      <c r="AWC14" s="225"/>
      <c r="AWD14" s="225"/>
      <c r="AWE14" s="225"/>
      <c r="AWF14" s="112"/>
      <c r="AWG14" s="112"/>
      <c r="AWH14" s="224" t="s">
        <v>35</v>
      </c>
      <c r="AWI14" s="224"/>
      <c r="AWJ14" s="224"/>
      <c r="AWK14" s="224"/>
      <c r="AWL14" s="88"/>
      <c r="AWM14" s="88"/>
      <c r="AWN14" s="225" t="s">
        <v>24</v>
      </c>
      <c r="AWO14" s="225"/>
      <c r="AWP14" s="225"/>
      <c r="AWQ14" s="225"/>
      <c r="AWR14" s="112"/>
      <c r="AWS14" s="112"/>
      <c r="AWT14" s="224" t="s">
        <v>36</v>
      </c>
      <c r="AWU14" s="224"/>
      <c r="AWV14" s="224"/>
      <c r="AWW14" s="224"/>
      <c r="AWX14" s="88"/>
      <c r="AWY14" s="88"/>
      <c r="AWZ14" s="225" t="s">
        <v>25</v>
      </c>
      <c r="AXA14" s="225"/>
      <c r="AXB14" s="225"/>
      <c r="AXC14" s="225"/>
      <c r="AXD14" s="112"/>
      <c r="AXE14" s="112"/>
      <c r="AXF14" s="224" t="s">
        <v>37</v>
      </c>
      <c r="AXG14" s="224"/>
      <c r="AXH14" s="224"/>
      <c r="AXI14" s="224"/>
      <c r="AXJ14" s="88"/>
      <c r="AXK14" s="88"/>
      <c r="AXL14" s="225" t="s">
        <v>26</v>
      </c>
      <c r="AXM14" s="225"/>
      <c r="AXN14" s="225"/>
      <c r="AXO14" s="225"/>
      <c r="AXP14" s="112"/>
      <c r="AXQ14" s="112"/>
      <c r="AXR14" s="224" t="s">
        <v>38</v>
      </c>
      <c r="AXS14" s="224"/>
      <c r="AXT14" s="224"/>
      <c r="AXU14" s="224"/>
      <c r="AXV14" s="88"/>
      <c r="AXW14" s="88"/>
      <c r="AXX14" s="88"/>
      <c r="AXY14" s="89"/>
      <c r="AXZ14" s="87"/>
      <c r="AYA14" s="88"/>
      <c r="AYB14" s="88"/>
      <c r="AYC14" s="88"/>
      <c r="AYD14" s="224" t="s">
        <v>34</v>
      </c>
      <c r="AYE14" s="224"/>
      <c r="AYF14" s="224"/>
      <c r="AYG14" s="224"/>
      <c r="AYH14" s="88"/>
      <c r="AYI14" s="88"/>
      <c r="AYJ14" s="225" t="s">
        <v>23</v>
      </c>
      <c r="AYK14" s="225"/>
      <c r="AYL14" s="225"/>
      <c r="AYM14" s="225"/>
      <c r="AYN14" s="112"/>
      <c r="AYO14" s="112"/>
      <c r="AYP14" s="224" t="s">
        <v>35</v>
      </c>
      <c r="AYQ14" s="224"/>
      <c r="AYR14" s="224"/>
      <c r="AYS14" s="224"/>
      <c r="AYT14" s="88"/>
      <c r="AYU14" s="88"/>
      <c r="AYV14" s="225" t="s">
        <v>24</v>
      </c>
      <c r="AYW14" s="225"/>
      <c r="AYX14" s="225"/>
      <c r="AYY14" s="225"/>
      <c r="AYZ14" s="112"/>
      <c r="AZA14" s="112"/>
      <c r="AZB14" s="224" t="s">
        <v>36</v>
      </c>
      <c r="AZC14" s="224"/>
      <c r="AZD14" s="224"/>
      <c r="AZE14" s="224"/>
      <c r="AZF14" s="88"/>
      <c r="AZG14" s="88"/>
      <c r="AZH14" s="225" t="s">
        <v>25</v>
      </c>
      <c r="AZI14" s="225"/>
      <c r="AZJ14" s="225"/>
      <c r="AZK14" s="225"/>
      <c r="AZL14" s="112"/>
      <c r="AZM14" s="112"/>
      <c r="AZN14" s="224" t="s">
        <v>37</v>
      </c>
      <c r="AZO14" s="224"/>
      <c r="AZP14" s="224"/>
      <c r="AZQ14" s="224"/>
      <c r="AZR14" s="88"/>
      <c r="AZS14" s="88"/>
      <c r="AZT14" s="225" t="s">
        <v>26</v>
      </c>
      <c r="AZU14" s="225"/>
      <c r="AZV14" s="225"/>
      <c r="AZW14" s="225"/>
      <c r="AZX14" s="112"/>
      <c r="AZY14" s="112"/>
      <c r="AZZ14" s="224" t="s">
        <v>38</v>
      </c>
      <c r="BAA14" s="224"/>
      <c r="BAB14" s="224"/>
      <c r="BAC14" s="224"/>
      <c r="BAD14" s="88"/>
      <c r="BAE14" s="88"/>
      <c r="BAF14" s="88"/>
      <c r="BAG14" s="89"/>
      <c r="BAH14" s="87"/>
      <c r="BAI14" s="88"/>
      <c r="BAJ14" s="88"/>
      <c r="BAK14" s="88"/>
      <c r="BAL14" s="224" t="s">
        <v>34</v>
      </c>
      <c r="BAM14" s="224"/>
      <c r="BAN14" s="224"/>
      <c r="BAO14" s="224"/>
      <c r="BAP14" s="88"/>
      <c r="BAQ14" s="88"/>
      <c r="BAR14" s="225" t="s">
        <v>23</v>
      </c>
      <c r="BAS14" s="225"/>
      <c r="BAT14" s="225"/>
      <c r="BAU14" s="225"/>
      <c r="BAV14" s="112"/>
      <c r="BAW14" s="112"/>
      <c r="BAX14" s="224" t="s">
        <v>35</v>
      </c>
      <c r="BAY14" s="224"/>
      <c r="BAZ14" s="224"/>
      <c r="BBA14" s="224"/>
      <c r="BBB14" s="88"/>
      <c r="BBC14" s="88"/>
      <c r="BBD14" s="225" t="s">
        <v>24</v>
      </c>
      <c r="BBE14" s="225"/>
      <c r="BBF14" s="225"/>
      <c r="BBG14" s="225"/>
      <c r="BBH14" s="112"/>
      <c r="BBI14" s="112"/>
      <c r="BBJ14" s="224" t="s">
        <v>36</v>
      </c>
      <c r="BBK14" s="224"/>
      <c r="BBL14" s="224"/>
      <c r="BBM14" s="224"/>
      <c r="BBN14" s="88"/>
      <c r="BBO14" s="88"/>
      <c r="BBP14" s="225" t="s">
        <v>25</v>
      </c>
      <c r="BBQ14" s="225"/>
      <c r="BBR14" s="225"/>
      <c r="BBS14" s="225"/>
      <c r="BBT14" s="112"/>
      <c r="BBU14" s="112"/>
      <c r="BBV14" s="224" t="s">
        <v>37</v>
      </c>
      <c r="BBW14" s="224"/>
      <c r="BBX14" s="224"/>
      <c r="BBY14" s="224"/>
      <c r="BBZ14" s="88"/>
      <c r="BCA14" s="88"/>
      <c r="BCB14" s="225" t="s">
        <v>26</v>
      </c>
      <c r="BCC14" s="225"/>
      <c r="BCD14" s="225"/>
      <c r="BCE14" s="225"/>
      <c r="BCF14" s="112"/>
      <c r="BCG14" s="112"/>
      <c r="BCH14" s="224" t="s">
        <v>38</v>
      </c>
      <c r="BCI14" s="224"/>
      <c r="BCJ14" s="224"/>
      <c r="BCK14" s="224"/>
      <c r="BCL14" s="88"/>
      <c r="BCM14" s="88"/>
      <c r="BCN14" s="88"/>
      <c r="BCO14" s="89"/>
      <c r="BCP14" s="87"/>
      <c r="BCQ14" s="88"/>
      <c r="BCR14" s="88"/>
      <c r="BCS14" s="88"/>
      <c r="BCT14" s="224" t="s">
        <v>34</v>
      </c>
      <c r="BCU14" s="224"/>
      <c r="BCV14" s="224"/>
      <c r="BCW14" s="224"/>
      <c r="BCX14" s="88"/>
      <c r="BCY14" s="88"/>
      <c r="BCZ14" s="225" t="s">
        <v>23</v>
      </c>
      <c r="BDA14" s="225"/>
      <c r="BDB14" s="225"/>
      <c r="BDC14" s="225"/>
      <c r="BDD14" s="112"/>
      <c r="BDE14" s="112"/>
      <c r="BDF14" s="224" t="s">
        <v>35</v>
      </c>
      <c r="BDG14" s="224"/>
      <c r="BDH14" s="224"/>
      <c r="BDI14" s="224"/>
      <c r="BDJ14" s="88"/>
      <c r="BDK14" s="88"/>
      <c r="BDL14" s="225" t="s">
        <v>24</v>
      </c>
      <c r="BDM14" s="225"/>
      <c r="BDN14" s="225"/>
      <c r="BDO14" s="225"/>
      <c r="BDP14" s="112"/>
      <c r="BDQ14" s="112"/>
      <c r="BDR14" s="224" t="s">
        <v>36</v>
      </c>
      <c r="BDS14" s="224"/>
      <c r="BDT14" s="224"/>
      <c r="BDU14" s="224"/>
      <c r="BDV14" s="88"/>
      <c r="BDW14" s="88"/>
      <c r="BDX14" s="225" t="s">
        <v>25</v>
      </c>
      <c r="BDY14" s="225"/>
      <c r="BDZ14" s="225"/>
      <c r="BEA14" s="225"/>
      <c r="BEB14" s="112"/>
      <c r="BEC14" s="112"/>
      <c r="BED14" s="224" t="s">
        <v>37</v>
      </c>
      <c r="BEE14" s="224"/>
      <c r="BEF14" s="224"/>
      <c r="BEG14" s="224"/>
      <c r="BEH14" s="88"/>
      <c r="BEI14" s="88"/>
      <c r="BEJ14" s="225" t="s">
        <v>26</v>
      </c>
      <c r="BEK14" s="225"/>
      <c r="BEL14" s="225"/>
      <c r="BEM14" s="225"/>
      <c r="BEN14" s="112"/>
      <c r="BEO14" s="112"/>
      <c r="BEP14" s="224" t="s">
        <v>38</v>
      </c>
      <c r="BEQ14" s="224"/>
      <c r="BER14" s="224"/>
      <c r="BES14" s="224"/>
      <c r="BET14" s="88"/>
      <c r="BEU14" s="88"/>
      <c r="BEV14" s="88"/>
      <c r="BEW14" s="89"/>
      <c r="BEX14" s="87"/>
      <c r="BEY14" s="88"/>
      <c r="BEZ14" s="88"/>
      <c r="BFA14" s="88"/>
      <c r="BFB14" s="224" t="s">
        <v>34</v>
      </c>
      <c r="BFC14" s="224"/>
      <c r="BFD14" s="224"/>
      <c r="BFE14" s="224"/>
      <c r="BFF14" s="88"/>
      <c r="BFG14" s="88"/>
      <c r="BFH14" s="225" t="s">
        <v>23</v>
      </c>
      <c r="BFI14" s="225"/>
      <c r="BFJ14" s="225"/>
      <c r="BFK14" s="225"/>
      <c r="BFL14" s="112"/>
      <c r="BFM14" s="112"/>
      <c r="BFN14" s="224" t="s">
        <v>35</v>
      </c>
      <c r="BFO14" s="224"/>
      <c r="BFP14" s="224"/>
      <c r="BFQ14" s="224"/>
      <c r="BFR14" s="88"/>
      <c r="BFS14" s="88"/>
      <c r="BFT14" s="225" t="s">
        <v>24</v>
      </c>
      <c r="BFU14" s="225"/>
      <c r="BFV14" s="225"/>
      <c r="BFW14" s="225"/>
      <c r="BFX14" s="112"/>
      <c r="BFY14" s="112"/>
      <c r="BFZ14" s="224" t="s">
        <v>36</v>
      </c>
      <c r="BGA14" s="224"/>
      <c r="BGB14" s="224"/>
      <c r="BGC14" s="224"/>
      <c r="BGD14" s="88"/>
      <c r="BGE14" s="88"/>
      <c r="BGF14" s="225" t="s">
        <v>25</v>
      </c>
      <c r="BGG14" s="225"/>
      <c r="BGH14" s="225"/>
      <c r="BGI14" s="225"/>
      <c r="BGJ14" s="112"/>
      <c r="BGK14" s="112"/>
      <c r="BGL14" s="224" t="s">
        <v>37</v>
      </c>
      <c r="BGM14" s="224"/>
      <c r="BGN14" s="224"/>
      <c r="BGO14" s="224"/>
      <c r="BGP14" s="88"/>
      <c r="BGQ14" s="88"/>
      <c r="BGR14" s="225" t="s">
        <v>26</v>
      </c>
      <c r="BGS14" s="225"/>
      <c r="BGT14" s="225"/>
      <c r="BGU14" s="225"/>
      <c r="BGV14" s="112"/>
      <c r="BGW14" s="112"/>
      <c r="BGX14" s="224" t="s">
        <v>38</v>
      </c>
      <c r="BGY14" s="224"/>
      <c r="BGZ14" s="224"/>
      <c r="BHA14" s="224"/>
      <c r="BHB14" s="88"/>
      <c r="BHC14" s="88"/>
      <c r="BHD14" s="88"/>
      <c r="BHE14" s="89"/>
      <c r="BHF14" s="87"/>
      <c r="BHG14" s="88"/>
      <c r="BHH14" s="88"/>
      <c r="BHI14" s="88"/>
      <c r="BHJ14" s="224" t="s">
        <v>34</v>
      </c>
      <c r="BHK14" s="224"/>
      <c r="BHL14" s="224"/>
      <c r="BHM14" s="224"/>
      <c r="BHN14" s="88"/>
      <c r="BHO14" s="88"/>
      <c r="BHP14" s="225" t="s">
        <v>23</v>
      </c>
      <c r="BHQ14" s="225"/>
      <c r="BHR14" s="225"/>
      <c r="BHS14" s="225"/>
      <c r="BHT14" s="112"/>
      <c r="BHU14" s="112"/>
      <c r="BHV14" s="224" t="s">
        <v>35</v>
      </c>
      <c r="BHW14" s="224"/>
      <c r="BHX14" s="224"/>
      <c r="BHY14" s="224"/>
      <c r="BHZ14" s="88"/>
      <c r="BIA14" s="88"/>
      <c r="BIB14" s="225" t="s">
        <v>24</v>
      </c>
      <c r="BIC14" s="225"/>
      <c r="BID14" s="225"/>
      <c r="BIE14" s="225"/>
      <c r="BIF14" s="112"/>
      <c r="BIG14" s="112"/>
      <c r="BIH14" s="224" t="s">
        <v>36</v>
      </c>
      <c r="BII14" s="224"/>
      <c r="BIJ14" s="224"/>
      <c r="BIK14" s="224"/>
      <c r="BIL14" s="88"/>
      <c r="BIM14" s="88"/>
      <c r="BIN14" s="225" t="s">
        <v>25</v>
      </c>
      <c r="BIO14" s="225"/>
      <c r="BIP14" s="225"/>
      <c r="BIQ14" s="225"/>
      <c r="BIR14" s="112"/>
      <c r="BIS14" s="112"/>
      <c r="BIT14" s="224" t="s">
        <v>37</v>
      </c>
      <c r="BIU14" s="224"/>
      <c r="BIV14" s="224"/>
      <c r="BIW14" s="224"/>
      <c r="BIX14" s="88"/>
      <c r="BIY14" s="88"/>
      <c r="BIZ14" s="225" t="s">
        <v>26</v>
      </c>
      <c r="BJA14" s="225"/>
      <c r="BJB14" s="225"/>
      <c r="BJC14" s="225"/>
      <c r="BJD14" s="112"/>
      <c r="BJE14" s="112"/>
      <c r="BJF14" s="224" t="s">
        <v>38</v>
      </c>
      <c r="BJG14" s="224"/>
      <c r="BJH14" s="224"/>
      <c r="BJI14" s="224"/>
      <c r="BJJ14" s="88"/>
      <c r="BJK14" s="88"/>
      <c r="BJL14" s="88"/>
      <c r="BJM14" s="89"/>
      <c r="BJN14" s="87"/>
      <c r="BJO14" s="88"/>
      <c r="BJP14" s="88"/>
      <c r="BJQ14" s="88"/>
      <c r="BJR14" s="224" t="s">
        <v>34</v>
      </c>
      <c r="BJS14" s="224"/>
      <c r="BJT14" s="224"/>
      <c r="BJU14" s="224"/>
      <c r="BJV14" s="88"/>
      <c r="BJW14" s="88"/>
      <c r="BJX14" s="225" t="s">
        <v>23</v>
      </c>
      <c r="BJY14" s="225"/>
      <c r="BJZ14" s="225"/>
      <c r="BKA14" s="225"/>
      <c r="BKB14" s="112"/>
      <c r="BKC14" s="112"/>
      <c r="BKD14" s="224" t="s">
        <v>35</v>
      </c>
      <c r="BKE14" s="224"/>
      <c r="BKF14" s="224"/>
      <c r="BKG14" s="224"/>
      <c r="BKH14" s="88"/>
      <c r="BKI14" s="88"/>
      <c r="BKJ14" s="225" t="s">
        <v>24</v>
      </c>
      <c r="BKK14" s="225"/>
      <c r="BKL14" s="225"/>
      <c r="BKM14" s="225"/>
      <c r="BKN14" s="112"/>
      <c r="BKO14" s="112"/>
      <c r="BKP14" s="224" t="s">
        <v>36</v>
      </c>
      <c r="BKQ14" s="224"/>
      <c r="BKR14" s="224"/>
      <c r="BKS14" s="224"/>
      <c r="BKT14" s="88"/>
      <c r="BKU14" s="88"/>
      <c r="BKV14" s="225" t="s">
        <v>25</v>
      </c>
      <c r="BKW14" s="225"/>
      <c r="BKX14" s="225"/>
      <c r="BKY14" s="225"/>
      <c r="BKZ14" s="112"/>
      <c r="BLA14" s="112"/>
      <c r="BLB14" s="224" t="s">
        <v>37</v>
      </c>
      <c r="BLC14" s="224"/>
      <c r="BLD14" s="224"/>
      <c r="BLE14" s="224"/>
      <c r="BLF14" s="88"/>
      <c r="BLG14" s="88"/>
      <c r="BLH14" s="225" t="s">
        <v>26</v>
      </c>
      <c r="BLI14" s="225"/>
      <c r="BLJ14" s="225"/>
      <c r="BLK14" s="225"/>
      <c r="BLL14" s="112"/>
      <c r="BLM14" s="112"/>
      <c r="BLN14" s="224" t="s">
        <v>38</v>
      </c>
      <c r="BLO14" s="224"/>
      <c r="BLP14" s="224"/>
      <c r="BLQ14" s="224"/>
      <c r="BLR14" s="88"/>
      <c r="BLS14" s="88"/>
      <c r="BLT14" s="88"/>
      <c r="BLU14" s="89"/>
    </row>
    <row r="15" spans="1:168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30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</row>
    <row r="16" spans="1:1685" ht="20.100000000000001" customHeight="1" x14ac:dyDescent="0.25">
      <c r="A16" s="84" t="s">
        <v>20</v>
      </c>
      <c r="B16" s="53" t="str">
        <f>IF(LEN(C17)=0,"",C17)</f>
        <v>Analyse - Planification initiale</v>
      </c>
      <c r="C16" s="236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</row>
    <row r="17" spans="1:1685" ht="20.100000000000001" customHeight="1" x14ac:dyDescent="0.25">
      <c r="A17" s="84" t="s">
        <v>19</v>
      </c>
      <c r="B17" s="53" t="str">
        <f>IF(LEN(C19)=0,"",C19)</f>
        <v>Analyse - Choix des technologies</v>
      </c>
      <c r="C17" s="230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</row>
    <row r="18" spans="1:1685" ht="20.100000000000001" customHeight="1" x14ac:dyDescent="0.3">
      <c r="A18" s="84" t="s">
        <v>20</v>
      </c>
      <c r="B18" s="53" t="str">
        <f>IF(LEN(C21)=0,"",C21)</f>
        <v>Analyse - Discussion avec la CdP</v>
      </c>
      <c r="C18" s="236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</row>
    <row r="19" spans="1:168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30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</row>
    <row r="20" spans="1:1685" ht="20.100000000000001" customHeight="1" x14ac:dyDescent="0.25">
      <c r="A20" s="84" t="s">
        <v>20</v>
      </c>
      <c r="B20" s="53" t="str">
        <f>IF(LEN(C25)=0,"",C25)</f>
        <v>Analyse - Maquettes Jeu</v>
      </c>
      <c r="C20" s="231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</row>
    <row r="21" spans="1:1685" ht="20.100000000000001" customHeight="1" x14ac:dyDescent="0.25">
      <c r="A21" s="84" t="s">
        <v>19</v>
      </c>
      <c r="B21" s="53" t="str">
        <f>IF(LEN(C27)=0,"",C27)</f>
        <v>Analyse - MCD / MLD</v>
      </c>
      <c r="C21" s="230" t="s">
        <v>165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</row>
    <row r="22" spans="1:1685" ht="20.100000000000001" customHeight="1" x14ac:dyDescent="0.25">
      <c r="A22" s="84" t="s">
        <v>20</v>
      </c>
      <c r="B22" s="53" t="str">
        <f>IF(LEN(C29)=0,"",C29)</f>
        <v>Analyse - Schémas UML</v>
      </c>
      <c r="C22" s="231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</row>
    <row r="23" spans="1:1685" ht="20.100000000000001" customHeight="1" x14ac:dyDescent="0.25">
      <c r="A23" s="84" t="s">
        <v>19</v>
      </c>
      <c r="B23" s="53" t="str">
        <f>IF(LEN(C31)=0,"",C31)</f>
        <v>Réalisation - Création du Menu</v>
      </c>
      <c r="C23" s="230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</row>
    <row r="24" spans="1:1685" ht="20.100000000000001" customHeight="1" x14ac:dyDescent="0.25">
      <c r="A24" s="84" t="s">
        <v>20</v>
      </c>
      <c r="B24" s="53" t="str">
        <f>IF(LEN(C33)=0,"",C33)</f>
        <v>Réalisation - Gestion de la DB</v>
      </c>
      <c r="C24" s="231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</row>
    <row r="25" spans="1:168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30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</row>
    <row r="26" spans="1:168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31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</row>
    <row r="27" spans="1:168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30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</row>
    <row r="28" spans="1:168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31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</row>
    <row r="29" spans="1:168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30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</row>
    <row r="30" spans="1:168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31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</row>
    <row r="31" spans="1:1685" ht="20.100000000000001" customHeight="1" x14ac:dyDescent="0.25">
      <c r="A31" s="84" t="s">
        <v>19</v>
      </c>
      <c r="B31" s="53" t="str">
        <f>IF(LEN(C47)=0,"",C47)</f>
        <v>Doc - Journal de travail</v>
      </c>
      <c r="C31" s="230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</row>
    <row r="32" spans="1:1685" ht="20.100000000000001" customHeight="1" x14ac:dyDescent="0.3">
      <c r="A32" s="84" t="s">
        <v>20</v>
      </c>
      <c r="B32" s="53" t="str">
        <f>IF(LEN(C49)=0,"",C49)</f>
        <v>Doc - Rapport</v>
      </c>
      <c r="C32" s="231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</row>
    <row r="33" spans="1:1685" ht="20.100000000000001" customHeight="1" x14ac:dyDescent="0.25">
      <c r="A33" s="84" t="s">
        <v>19</v>
      </c>
      <c r="B33" s="53" t="str">
        <f>IF(LEN(C51)=0,"",C51)</f>
        <v>Doc - Relecture</v>
      </c>
      <c r="C33" s="230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</row>
    <row r="34" spans="1:1685" ht="20.100000000000001" customHeight="1" x14ac:dyDescent="0.3">
      <c r="A34" s="84" t="s">
        <v>20</v>
      </c>
      <c r="B34" s="53" t="str">
        <f>IF(LEN(C53)=0,"",C53)</f>
        <v>Doc - Mise au propre</v>
      </c>
      <c r="C34" s="231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</row>
    <row r="35" spans="1:1685" ht="20.100000000000001" customHeight="1" x14ac:dyDescent="0.25">
      <c r="A35" s="84" t="s">
        <v>19</v>
      </c>
      <c r="B35" s="53" t="str">
        <f>IF(LEN(C55)=0,"",C55)</f>
        <v>Autre</v>
      </c>
      <c r="C35" s="230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</row>
    <row r="36" spans="1:1685" ht="20.100000000000001" customHeight="1" x14ac:dyDescent="0.25">
      <c r="A36" s="84" t="s">
        <v>20</v>
      </c>
      <c r="B36" s="53" t="str">
        <f>IF(LEN(C57)=0,"",C57)</f>
        <v/>
      </c>
      <c r="C36" s="231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</row>
    <row r="37" spans="1:1685" ht="20.100000000000001" customHeight="1" x14ac:dyDescent="0.25">
      <c r="A37" s="84" t="s">
        <v>19</v>
      </c>
      <c r="B37" s="53" t="str">
        <f>IF(LEN(C59)=0,"",C59)</f>
        <v/>
      </c>
      <c r="C37" s="230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</row>
    <row r="38" spans="1:1685" ht="20.100000000000001" customHeight="1" x14ac:dyDescent="0.3">
      <c r="A38" s="84" t="s">
        <v>20</v>
      </c>
      <c r="B38" s="53"/>
      <c r="C38" s="231"/>
      <c r="D38" s="131" t="str">
        <f t="shared" si="0"/>
        <v>16h10min</v>
      </c>
      <c r="E38" s="30">
        <v>194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206"/>
      <c r="XJ38" s="206"/>
      <c r="XK38" s="209"/>
      <c r="XL38" s="206"/>
      <c r="XM38" s="206"/>
      <c r="XN38" s="206"/>
      <c r="XO38" s="206"/>
      <c r="XP38" s="206"/>
      <c r="XQ38" s="208"/>
      <c r="XR38" s="206"/>
      <c r="XS38" s="206"/>
      <c r="XT38" s="206"/>
      <c r="XU38" s="206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206"/>
      <c r="YX38" s="206"/>
      <c r="YY38" s="206"/>
      <c r="YZ38" s="206"/>
      <c r="ZA38" s="208"/>
      <c r="ZB38" s="206"/>
      <c r="ZC38" s="206"/>
      <c r="ZD38" s="206"/>
      <c r="ZE38" s="206"/>
      <c r="ZF38" s="206"/>
      <c r="ZG38" s="209"/>
      <c r="ZH38" s="206"/>
      <c r="ZI38" s="206"/>
      <c r="ZJ38" s="206"/>
      <c r="ZK38" s="206"/>
      <c r="ZL38" s="206"/>
      <c r="ZM38" s="208"/>
      <c r="ZN38" s="206"/>
      <c r="ZO38" s="206"/>
      <c r="ZP38" s="206"/>
      <c r="ZQ38" s="206"/>
      <c r="ZR38" s="206"/>
      <c r="ZS38" s="209"/>
      <c r="ZT38" s="206"/>
      <c r="ZU38" s="206"/>
      <c r="ZV38" s="206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212"/>
      <c r="AHW38" s="206"/>
      <c r="AHX38" s="206"/>
      <c r="AHY38" s="206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</row>
    <row r="39" spans="1:1685" ht="20.100000000000001" customHeight="1" x14ac:dyDescent="0.25">
      <c r="A39" s="84" t="s">
        <v>19</v>
      </c>
      <c r="B39" s="53"/>
      <c r="C39" s="230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</row>
    <row r="40" spans="1:1685" ht="20.100000000000001" customHeight="1" x14ac:dyDescent="0.25">
      <c r="A40" s="84" t="s">
        <v>20</v>
      </c>
      <c r="B40" s="53"/>
      <c r="C40" s="231"/>
      <c r="D40" s="130" t="str">
        <f t="shared" si="0"/>
        <v>5h50min</v>
      </c>
      <c r="E40" s="22">
        <v>70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205"/>
      <c r="ABK40" s="205"/>
      <c r="ABL40" s="205"/>
      <c r="ABM40" s="205"/>
      <c r="ABN40" s="205"/>
      <c r="ABO40" s="211"/>
      <c r="ABP40" s="205"/>
      <c r="ABQ40" s="205"/>
      <c r="ABR40" s="205"/>
      <c r="ABS40" s="205"/>
      <c r="ABT40" s="205"/>
      <c r="ABU40" s="210"/>
      <c r="ABV40" s="205"/>
      <c r="ABW40" s="205"/>
      <c r="ABX40" s="205"/>
      <c r="ABY40" s="205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205"/>
      <c r="ADJ40" s="205"/>
      <c r="ADK40" s="213"/>
      <c r="ADL40" s="205"/>
      <c r="ADM40" s="205"/>
      <c r="ADN40" s="205"/>
      <c r="ADO40" s="205"/>
      <c r="ADP40" s="205"/>
      <c r="ADQ40" s="210"/>
      <c r="ADR40" s="205"/>
      <c r="ADS40" s="205"/>
      <c r="ADT40" s="205"/>
      <c r="ADU40" s="205"/>
      <c r="ADV40" s="205"/>
      <c r="ADW40" s="211"/>
      <c r="ADX40" s="205"/>
      <c r="ADY40" s="205"/>
      <c r="ADZ40" s="205"/>
      <c r="AEA40" s="205"/>
      <c r="AEB40" s="205"/>
      <c r="AEC40" s="210"/>
      <c r="AED40" s="205"/>
      <c r="AEE40" s="205"/>
      <c r="AEF40" s="205"/>
      <c r="AEG40" s="205"/>
      <c r="AEH40" s="205"/>
      <c r="AEI40" s="211"/>
      <c r="AEJ40" s="205"/>
      <c r="AEK40" s="205"/>
      <c r="AEL40" s="205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205"/>
      <c r="AGC40" s="205"/>
      <c r="AGD40" s="205"/>
      <c r="AGE40" s="211"/>
      <c r="AGF40" s="205"/>
      <c r="AGG40" s="205"/>
      <c r="AGH40" s="205"/>
      <c r="AGI40" s="205"/>
      <c r="AGJ40" s="205"/>
      <c r="AGK40" s="210"/>
      <c r="AGL40" s="205"/>
      <c r="AGM40" s="205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205"/>
      <c r="AIA40" s="213"/>
      <c r="AIB40" s="205"/>
      <c r="AIC40" s="205"/>
      <c r="AID40" s="205"/>
      <c r="AIE40" s="205"/>
      <c r="AIF40" s="205"/>
      <c r="AIG40" s="210"/>
      <c r="AIH40" s="205"/>
      <c r="AII40" s="205"/>
      <c r="AIJ40" s="205"/>
      <c r="AIK40" s="205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</row>
    <row r="41" spans="1:1685" ht="20.100000000000001" customHeight="1" x14ac:dyDescent="0.25">
      <c r="A41" s="84" t="s">
        <v>19</v>
      </c>
      <c r="B41" s="53"/>
      <c r="C41" s="230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</row>
    <row r="42" spans="1:1685" ht="20.100000000000001" customHeight="1" x14ac:dyDescent="0.3">
      <c r="A42" s="84" t="s">
        <v>20</v>
      </c>
      <c r="B42" s="53"/>
      <c r="C42" s="231"/>
      <c r="D42" s="131" t="str">
        <f t="shared" si="0"/>
        <v>1h25min</v>
      </c>
      <c r="E42" s="30">
        <v>17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206"/>
      <c r="AIM42" s="209"/>
      <c r="AIN42" s="206"/>
      <c r="AIO42" s="206"/>
      <c r="AIP42" s="206"/>
      <c r="AIQ42" s="206"/>
      <c r="AIR42" s="206"/>
      <c r="AIS42" s="208"/>
      <c r="AIT42" s="206"/>
      <c r="AIU42" s="206"/>
      <c r="AIV42" s="206"/>
      <c r="AIW42" s="206"/>
      <c r="AIX42" s="182"/>
      <c r="AIY42" s="185"/>
      <c r="AIZ42" s="182"/>
      <c r="AJA42" s="182"/>
      <c r="AJB42" s="206"/>
      <c r="AJC42" s="206"/>
      <c r="AJD42" s="206"/>
      <c r="AJE42" s="208"/>
      <c r="AJF42" s="206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</row>
    <row r="43" spans="1:1685" ht="20.100000000000001" customHeight="1" x14ac:dyDescent="0.25">
      <c r="A43" s="84" t="s">
        <v>19</v>
      </c>
      <c r="B43" s="53"/>
      <c r="C43" s="230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</row>
    <row r="44" spans="1:1685" ht="20.100000000000001" customHeight="1" x14ac:dyDescent="0.3">
      <c r="A44" s="84" t="s">
        <v>20</v>
      </c>
      <c r="B44" s="53"/>
      <c r="C44" s="231"/>
      <c r="D44" s="131" t="str">
        <f t="shared" si="0"/>
        <v>8h50min</v>
      </c>
      <c r="E44" s="30">
        <v>106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212"/>
      <c r="UA44" s="206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206"/>
      <c r="WS44" s="208"/>
      <c r="WT44" s="206"/>
      <c r="WU44" s="206"/>
      <c r="WV44" s="206"/>
      <c r="WW44" s="206"/>
      <c r="WX44" s="206"/>
      <c r="WY44" s="209"/>
      <c r="WZ44" s="206"/>
      <c r="XA44" s="206"/>
      <c r="XB44" s="206"/>
      <c r="XC44" s="206"/>
      <c r="XD44" s="206"/>
      <c r="XE44" s="208"/>
      <c r="XF44" s="206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206"/>
      <c r="ZX44" s="206"/>
      <c r="ZY44" s="208"/>
      <c r="ZZ44" s="206"/>
      <c r="AAA44" s="206"/>
      <c r="AAB44" s="206"/>
      <c r="AAC44" s="206"/>
      <c r="AAD44" s="206"/>
      <c r="AAE44" s="209"/>
      <c r="AAF44" s="206"/>
      <c r="AAG44" s="206"/>
      <c r="AAH44" s="206"/>
      <c r="AAI44" s="206"/>
      <c r="AAJ44" s="206"/>
      <c r="AAK44" s="208"/>
      <c r="AAL44" s="206"/>
      <c r="AAM44" s="206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212"/>
      <c r="AAY44" s="206"/>
      <c r="AAZ44" s="206"/>
      <c r="ABA44" s="206"/>
      <c r="ABB44" s="206"/>
      <c r="ABC44" s="207"/>
      <c r="ABD44" s="206"/>
      <c r="ABE44" s="206"/>
      <c r="ABF44" s="206"/>
      <c r="ABG44" s="206"/>
      <c r="ABH44" s="206"/>
      <c r="ABI44" s="208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206"/>
      <c r="AEN44" s="206"/>
      <c r="AEO44" s="208"/>
      <c r="AEP44" s="206"/>
      <c r="AEQ44" s="206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212"/>
      <c r="AFO44" s="206"/>
      <c r="AFP44" s="206"/>
      <c r="AFQ44" s="206"/>
      <c r="AFR44" s="206"/>
      <c r="AFS44" s="207"/>
      <c r="AFT44" s="206"/>
      <c r="AFU44" s="206"/>
      <c r="AFV44" s="206"/>
      <c r="AFW44" s="206"/>
      <c r="AFX44" s="206"/>
      <c r="AFY44" s="208"/>
      <c r="AFZ44" s="206"/>
      <c r="AGA44" s="206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206"/>
      <c r="AGQ44" s="209"/>
      <c r="AGR44" s="206"/>
      <c r="AGS44" s="206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206"/>
      <c r="AIY44" s="209"/>
      <c r="AIZ44" s="206"/>
      <c r="AJA44" s="206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206"/>
      <c r="ANI44" s="208"/>
      <c r="ANJ44" s="206"/>
      <c r="ANK44" s="206"/>
      <c r="ANL44" s="206"/>
      <c r="ANM44" s="206"/>
      <c r="ANN44" s="206"/>
      <c r="ANO44" s="209"/>
      <c r="ANP44" s="206"/>
      <c r="ANQ44" s="206"/>
      <c r="ANR44" s="206"/>
      <c r="ANS44" s="206"/>
      <c r="ANT44" s="206"/>
      <c r="ANU44" s="208"/>
      <c r="ANV44" s="206"/>
      <c r="ANW44" s="206"/>
      <c r="ANX44" s="206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212"/>
      <c r="AOU44" s="206"/>
      <c r="AOV44" s="206"/>
      <c r="AOW44" s="206"/>
      <c r="AOX44" s="206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206"/>
      <c r="AQC44" s="208"/>
      <c r="AQD44" s="206"/>
      <c r="AQE44" s="206"/>
      <c r="AQF44" s="206"/>
      <c r="AQG44" s="206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</row>
    <row r="45" spans="1:1685" ht="20.100000000000001" customHeight="1" x14ac:dyDescent="0.25">
      <c r="A45" s="84" t="s">
        <v>19</v>
      </c>
      <c r="B45" s="53"/>
      <c r="C45" s="230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</row>
    <row r="46" spans="1:1685" ht="20.100000000000001" customHeight="1" x14ac:dyDescent="0.25">
      <c r="A46" s="84" t="s">
        <v>20</v>
      </c>
      <c r="B46" s="53"/>
      <c r="C46" s="231"/>
      <c r="D46" s="130" t="str">
        <f t="shared" si="0"/>
        <v>3h15min</v>
      </c>
      <c r="E46" s="30">
        <v>39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212"/>
      <c r="AKE46" s="206"/>
      <c r="AKF46" s="206"/>
      <c r="AKG46" s="206"/>
      <c r="AKH46" s="206"/>
      <c r="AKI46" s="207"/>
      <c r="AKJ46" s="206"/>
      <c r="AKK46" s="206"/>
      <c r="AKL46" s="206"/>
      <c r="AKM46" s="206"/>
      <c r="AKN46" s="206"/>
      <c r="AKO46" s="208"/>
      <c r="AKP46" s="206"/>
      <c r="AKQ46" s="206"/>
      <c r="AKR46" s="206"/>
      <c r="AKS46" s="206"/>
      <c r="AKT46" s="206"/>
      <c r="AKU46" s="209"/>
      <c r="AKV46" s="206"/>
      <c r="AKW46" s="206"/>
      <c r="AKX46" s="206"/>
      <c r="AKY46" s="206"/>
      <c r="AKZ46" s="206"/>
      <c r="ALA46" s="208"/>
      <c r="ALB46" s="206"/>
      <c r="ALC46" s="206"/>
      <c r="ALD46" s="206"/>
      <c r="ALE46" s="206"/>
      <c r="ALF46" s="206"/>
      <c r="ALG46" s="209"/>
      <c r="ALH46" s="206"/>
      <c r="ALI46" s="206"/>
      <c r="ALJ46" s="206"/>
      <c r="ALK46" s="206"/>
      <c r="ALL46" s="206"/>
      <c r="ALM46" s="208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206"/>
      <c r="APD46" s="206"/>
      <c r="APE46" s="208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</row>
    <row r="47" spans="1:1685" ht="20.100000000000001" customHeight="1" x14ac:dyDescent="0.25">
      <c r="A47" s="84" t="s">
        <v>19</v>
      </c>
      <c r="B47" s="53"/>
      <c r="C47" s="230" t="s">
        <v>16</v>
      </c>
      <c r="D47" s="129" t="str">
        <f t="shared" si="0"/>
        <v>2h35min</v>
      </c>
      <c r="E47" s="34">
        <v>31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93"/>
      <c r="BJO47" s="168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</row>
    <row r="48" spans="1:1685" ht="20.100000000000001" customHeight="1" x14ac:dyDescent="0.3">
      <c r="A48" s="84" t="s">
        <v>20</v>
      </c>
      <c r="B48" s="53"/>
      <c r="C48" s="231"/>
      <c r="D48" s="131" t="str">
        <f t="shared" si="0"/>
        <v>1h25min</v>
      </c>
      <c r="E48" s="22">
        <v>17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205"/>
      <c r="XH48" s="205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205"/>
      <c r="ACA48" s="211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204"/>
      <c r="ADG48" s="205"/>
      <c r="ADH48" s="205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205"/>
      <c r="AGO48" s="205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205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205"/>
      <c r="AMS48" s="205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</row>
    <row r="49" spans="1:1685" ht="20.100000000000001" customHeight="1" x14ac:dyDescent="0.25">
      <c r="A49" s="84" t="s">
        <v>19</v>
      </c>
      <c r="B49" s="53"/>
      <c r="C49" s="230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</row>
    <row r="50" spans="1:1685" ht="20.100000000000001" customHeight="1" x14ac:dyDescent="0.3">
      <c r="A50" s="84" t="s">
        <v>20</v>
      </c>
      <c r="B50" s="53"/>
      <c r="C50" s="231"/>
      <c r="D50" s="131" t="str">
        <f t="shared" si="0"/>
        <v>11h10min</v>
      </c>
      <c r="E50" s="30">
        <v>134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206"/>
      <c r="UD50" s="206"/>
      <c r="UE50" s="207"/>
      <c r="UF50" s="206"/>
      <c r="UG50" s="206"/>
      <c r="UH50" s="206"/>
      <c r="UI50" s="206"/>
      <c r="UJ50" s="206"/>
      <c r="UK50" s="208"/>
      <c r="UL50" s="206"/>
      <c r="UM50" s="206"/>
      <c r="UN50" s="206"/>
      <c r="UO50" s="206"/>
      <c r="UP50" s="206"/>
      <c r="UQ50" s="209"/>
      <c r="UR50" s="206"/>
      <c r="US50" s="206"/>
      <c r="UT50" s="206"/>
      <c r="UU50" s="206"/>
      <c r="UV50" s="206"/>
      <c r="UW50" s="208"/>
      <c r="UX50" s="206"/>
      <c r="UY50" s="206"/>
      <c r="UZ50" s="206"/>
      <c r="VA50" s="206"/>
      <c r="VB50" s="206"/>
      <c r="VC50" s="209"/>
      <c r="VD50" s="206"/>
      <c r="VE50" s="206"/>
      <c r="VF50" s="206"/>
      <c r="VG50" s="206"/>
      <c r="VH50" s="206"/>
      <c r="VI50" s="208"/>
      <c r="VJ50" s="206"/>
      <c r="VK50" s="206"/>
      <c r="VL50" s="206"/>
      <c r="VM50" s="206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212"/>
      <c r="WI50" s="206"/>
      <c r="WJ50" s="206"/>
      <c r="WK50" s="206"/>
      <c r="WL50" s="206"/>
      <c r="WM50" s="207"/>
      <c r="WN50" s="206"/>
      <c r="WO50" s="206"/>
      <c r="WP50" s="206"/>
      <c r="WQ50" s="206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212"/>
      <c r="YQ50" s="206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206"/>
      <c r="AGW50" s="208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206"/>
      <c r="ALO50" s="206"/>
      <c r="ALP50" s="206"/>
      <c r="ALQ50" s="206"/>
      <c r="ALR50" s="206"/>
      <c r="ALS50" s="209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206"/>
      <c r="AMU50" s="206"/>
      <c r="AMV50" s="206"/>
      <c r="AMW50" s="208"/>
      <c r="AMX50" s="206"/>
      <c r="AMY50" s="206"/>
      <c r="AMZ50" s="206"/>
      <c r="ANA50" s="206"/>
      <c r="ANB50" s="206"/>
      <c r="ANC50" s="209"/>
      <c r="AND50" s="206"/>
      <c r="ANE50" s="206"/>
      <c r="ANF50" s="206"/>
      <c r="ANG50" s="206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206"/>
      <c r="APG50" s="206"/>
      <c r="APH50" s="206"/>
      <c r="API50" s="206"/>
      <c r="APJ50" s="206"/>
      <c r="APK50" s="209"/>
      <c r="APL50" s="206"/>
      <c r="APM50" s="206"/>
      <c r="APN50" s="206"/>
      <c r="APO50" s="206"/>
      <c r="APP50" s="206"/>
      <c r="APQ50" s="208"/>
      <c r="APR50" s="206"/>
      <c r="APS50" s="206"/>
      <c r="APT50" s="206"/>
      <c r="APU50" s="206"/>
      <c r="APV50" s="206"/>
      <c r="APW50" s="209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212"/>
      <c r="ARC50" s="206"/>
      <c r="ARD50" s="206"/>
      <c r="ARE50" s="206"/>
      <c r="ARF50" s="206"/>
      <c r="ARG50" s="207"/>
      <c r="ARH50" s="206"/>
      <c r="ARI50" s="206"/>
      <c r="ARJ50" s="206"/>
      <c r="ARK50" s="206"/>
      <c r="ARL50" s="206"/>
      <c r="ARM50" s="208"/>
      <c r="ARN50" s="206"/>
      <c r="ARO50" s="206"/>
      <c r="ARP50" s="206"/>
      <c r="ARQ50" s="206"/>
      <c r="ARR50" s="206"/>
      <c r="ARS50" s="209"/>
      <c r="ART50" s="206"/>
      <c r="ARU50" s="206"/>
      <c r="ARV50" s="206"/>
      <c r="ARW50" s="206"/>
      <c r="ARX50" s="206"/>
      <c r="ARY50" s="208"/>
      <c r="ARZ50" s="206"/>
      <c r="ASA50" s="206"/>
      <c r="ASB50" s="206"/>
      <c r="ASC50" s="206"/>
      <c r="ASD50" s="206"/>
      <c r="ASE50" s="209"/>
      <c r="ASF50" s="206"/>
      <c r="ASG50" s="206"/>
      <c r="ASH50" s="206"/>
      <c r="ASI50" s="206"/>
      <c r="ASJ50" s="206"/>
      <c r="ASK50" s="208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</row>
    <row r="51" spans="1:1685" ht="20.100000000000001" customHeight="1" x14ac:dyDescent="0.25">
      <c r="A51" s="84" t="s">
        <v>19</v>
      </c>
      <c r="B51" s="53"/>
      <c r="C51" s="230" t="s">
        <v>77</v>
      </c>
      <c r="D51" s="129" t="str">
        <f t="shared" si="0"/>
        <v>5h40min</v>
      </c>
      <c r="E51" s="34">
        <v>68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8"/>
      <c r="BJQ51" s="168"/>
      <c r="BJR51" s="168"/>
      <c r="BJS51" s="194"/>
      <c r="BJT51" s="168"/>
      <c r="BJU51" s="168"/>
      <c r="BJV51" s="168"/>
      <c r="BJW51" s="168"/>
      <c r="BJX51" s="168"/>
      <c r="BJY51" s="173"/>
      <c r="BJZ51" s="168"/>
      <c r="BKA51" s="168"/>
      <c r="BKB51" s="168"/>
      <c r="BKC51" s="168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</row>
    <row r="52" spans="1:1685" ht="20.100000000000001" customHeight="1" x14ac:dyDescent="0.25">
      <c r="A52" s="84" t="s">
        <v>20</v>
      </c>
      <c r="B52" s="53"/>
      <c r="C52" s="231"/>
      <c r="D52" s="130" t="str">
        <f t="shared" si="0"/>
        <v>0h20min</v>
      </c>
      <c r="E52" s="22">
        <v>4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205"/>
      <c r="APY52" s="205"/>
      <c r="APZ52" s="205"/>
      <c r="AQA52" s="205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</row>
    <row r="53" spans="1:1685" ht="20.100000000000001" customHeight="1" x14ac:dyDescent="0.25">
      <c r="A53" s="84" t="s">
        <v>19</v>
      </c>
      <c r="B53" s="53"/>
      <c r="C53" s="230" t="s">
        <v>78</v>
      </c>
      <c r="D53" s="129" t="str">
        <f t="shared" si="0"/>
        <v>5h40min</v>
      </c>
      <c r="E53" s="26">
        <v>68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69"/>
      <c r="BKE53" s="172"/>
      <c r="BKF53" s="169"/>
      <c r="BKG53" s="169"/>
      <c r="BKH53" s="169"/>
      <c r="BKI53" s="169"/>
      <c r="BKJ53" s="169"/>
      <c r="BKK53" s="171"/>
      <c r="BKL53" s="169"/>
      <c r="BKM53" s="169"/>
      <c r="BKN53" s="169"/>
      <c r="BKO53" s="169"/>
      <c r="BKP53" s="169"/>
      <c r="BKQ53" s="172"/>
      <c r="BKR53" s="169"/>
      <c r="BKS53" s="169"/>
      <c r="BKT53" s="169"/>
      <c r="BKU53" s="169"/>
      <c r="BKV53" s="169"/>
      <c r="BKW53" s="171"/>
      <c r="BKX53" s="169"/>
      <c r="BKY53" s="169"/>
      <c r="BKZ53" s="169"/>
      <c r="BLA53" s="169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</row>
    <row r="54" spans="1:1685" ht="20.100000000000001" customHeight="1" x14ac:dyDescent="0.3">
      <c r="A54" s="84" t="s">
        <v>20</v>
      </c>
      <c r="B54" s="53"/>
      <c r="C54" s="231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</row>
    <row r="55" spans="1:1685" ht="20.100000000000001" customHeight="1" x14ac:dyDescent="0.25">
      <c r="A55" s="84" t="s">
        <v>19</v>
      </c>
      <c r="B55" s="53"/>
      <c r="C55" s="230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</row>
    <row r="56" spans="1:1685" ht="20.100000000000001" customHeight="1" x14ac:dyDescent="0.25">
      <c r="A56" s="84" t="s">
        <v>20</v>
      </c>
      <c r="B56" s="53"/>
      <c r="C56" s="231"/>
      <c r="D56" s="130" t="str">
        <f t="shared" si="0"/>
        <v>4h20min</v>
      </c>
      <c r="E56" s="22">
        <v>52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205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205"/>
      <c r="YS56" s="205"/>
      <c r="YT56" s="205"/>
      <c r="YU56" s="213"/>
      <c r="YV56" s="205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205"/>
      <c r="AGU56" s="205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205"/>
      <c r="ALU56" s="205"/>
      <c r="ALV56" s="205"/>
      <c r="ALW56" s="205"/>
      <c r="ALX56" s="205"/>
      <c r="ALY56" s="210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204"/>
      <c r="AMM56" s="205"/>
      <c r="AMN56" s="205"/>
      <c r="AMO56" s="205"/>
      <c r="AMP56" s="205"/>
      <c r="AMQ56" s="213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205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213"/>
      <c r="AOZ56" s="205"/>
      <c r="APA56" s="205"/>
      <c r="APB56" s="205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</row>
    <row r="57" spans="1:1685" ht="20.100000000000001" customHeight="1" x14ac:dyDescent="0.25">
      <c r="A57" s="84" t="s">
        <v>19</v>
      </c>
      <c r="B57" s="53"/>
      <c r="C57" s="230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</row>
    <row r="58" spans="1:1685" ht="20.100000000000001" customHeight="1" x14ac:dyDescent="0.3">
      <c r="A58" s="84" t="s">
        <v>20</v>
      </c>
      <c r="B58" s="53"/>
      <c r="C58" s="231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</row>
    <row r="59" spans="1:1685" ht="20.100000000000001" customHeight="1" x14ac:dyDescent="0.25">
      <c r="A59" s="84" t="s">
        <v>19</v>
      </c>
      <c r="B59" s="53"/>
      <c r="C59" s="230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</row>
    <row r="60" spans="1:1685" ht="20.100000000000001" customHeight="1" x14ac:dyDescent="0.3">
      <c r="A60" s="84" t="s">
        <v>20</v>
      </c>
      <c r="B60" s="53"/>
      <c r="C60" s="231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</row>
    <row r="61" spans="1:1685" ht="20.100000000000001" customHeight="1" x14ac:dyDescent="0.25">
      <c r="A61" s="84" t="s">
        <v>19</v>
      </c>
      <c r="B61" s="53"/>
      <c r="C61" s="230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</row>
    <row r="62" spans="1:1685" ht="20.100000000000001" customHeight="1" x14ac:dyDescent="0.25">
      <c r="A62" s="84" t="s">
        <v>20</v>
      </c>
      <c r="B62" s="53"/>
      <c r="C62" s="231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</row>
    <row r="63" spans="1:1685" ht="20.100000000000001" customHeight="1" x14ac:dyDescent="0.25">
      <c r="A63" s="84" t="s">
        <v>19</v>
      </c>
      <c r="B63" s="53"/>
      <c r="C63" s="230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</row>
    <row r="64" spans="1:1685" ht="20.100000000000001" customHeight="1" x14ac:dyDescent="0.3">
      <c r="A64" s="84" t="s">
        <v>20</v>
      </c>
      <c r="B64" s="53"/>
      <c r="C64" s="231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</row>
    <row r="65" spans="1:1685" ht="20.100000000000001" customHeight="1" x14ac:dyDescent="0.25">
      <c r="A65" s="84" t="s">
        <v>19</v>
      </c>
      <c r="B65" s="53"/>
      <c r="C65" s="230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</row>
    <row r="66" spans="1:1685" ht="20.100000000000001" customHeight="1" x14ac:dyDescent="0.3">
      <c r="A66" s="84" t="s">
        <v>20</v>
      </c>
      <c r="B66" s="53"/>
      <c r="C66" s="231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</row>
    <row r="67" spans="1:1685" ht="20.100000000000001" customHeight="1" x14ac:dyDescent="0.25">
      <c r="A67" s="84" t="s">
        <v>19</v>
      </c>
      <c r="B67" s="53"/>
      <c r="C67" s="230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</row>
    <row r="68" spans="1:1685" ht="20.100000000000001" customHeight="1" x14ac:dyDescent="0.25">
      <c r="A68" s="84" t="s">
        <v>20</v>
      </c>
      <c r="B68" s="53"/>
      <c r="C68" s="231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</row>
    <row r="69" spans="1:1685" ht="20.100000000000001" customHeight="1" x14ac:dyDescent="0.25">
      <c r="B69" s="53"/>
      <c r="C69" s="226" t="s">
        <v>9</v>
      </c>
      <c r="D69" s="227"/>
      <c r="E69" s="101">
        <f>SUM(E15,E17,E19,E21,E23,E25,E27,E29,E31,E33,E35,E37,E39,E41,E43,E45,E47,E49,E51,E53,E55,E57,E59,E61,E63,E65,E67)</f>
        <v>1108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55"/>
      <c r="AVS69" s="54"/>
      <c r="AVT69" s="54"/>
      <c r="AVU69" s="54"/>
      <c r="AVV69" s="54"/>
      <c r="AVW69" s="54"/>
      <c r="AVX69" s="54"/>
      <c r="AVY69" s="54"/>
      <c r="AVZ69" s="54"/>
      <c r="AWA69" s="54"/>
      <c r="AWB69" s="54"/>
      <c r="AWC69" s="54"/>
      <c r="AWD69" s="54"/>
      <c r="AWE69" s="54"/>
      <c r="AWF69" s="54"/>
      <c r="AWG69" s="54"/>
      <c r="AWH69" s="54"/>
      <c r="AWI69" s="54"/>
      <c r="AWJ69" s="54"/>
      <c r="AWK69" s="54"/>
      <c r="AWL69" s="54"/>
      <c r="AWM69" s="54"/>
      <c r="AWN69" s="54"/>
      <c r="AWO69" s="54"/>
      <c r="AWP69" s="54"/>
      <c r="AWQ69" s="54"/>
      <c r="AWR69" s="54"/>
      <c r="AWS69" s="54"/>
      <c r="AWT69" s="54"/>
      <c r="AWU69" s="54"/>
      <c r="AWV69" s="54"/>
      <c r="AWW69" s="54"/>
      <c r="AWX69" s="54"/>
      <c r="AWY69" s="54"/>
      <c r="AWZ69" s="54"/>
      <c r="AXA69" s="54"/>
      <c r="AXB69" s="54"/>
      <c r="AXC69" s="54"/>
      <c r="AXD69" s="54"/>
      <c r="AXE69" s="54"/>
      <c r="AXF69" s="54"/>
      <c r="AXG69" s="54"/>
      <c r="AXH69" s="54"/>
      <c r="AXI69" s="54"/>
      <c r="AXJ69" s="54"/>
      <c r="AXK69" s="54"/>
      <c r="AXL69" s="54"/>
      <c r="AXM69" s="54"/>
      <c r="AXN69" s="54"/>
      <c r="AXO69" s="54"/>
      <c r="AXP69" s="54"/>
      <c r="AXQ69" s="54"/>
      <c r="AXR69" s="54"/>
      <c r="AXS69" s="54"/>
      <c r="AXT69" s="54"/>
      <c r="AXU69" s="54"/>
      <c r="AXV69" s="54"/>
      <c r="AXW69" s="54"/>
      <c r="AXX69" s="54"/>
      <c r="AXY69" s="70"/>
      <c r="AXZ69" s="55"/>
      <c r="AYA69" s="54"/>
      <c r="AYB69" s="54"/>
      <c r="AYC69" s="54"/>
      <c r="AYD69" s="54"/>
      <c r="AYE69" s="54"/>
      <c r="AYF69" s="54"/>
      <c r="AYG69" s="54"/>
      <c r="AYH69" s="54"/>
      <c r="AYI69" s="54"/>
      <c r="AYJ69" s="54"/>
      <c r="AYK69" s="54"/>
      <c r="AYL69" s="54"/>
      <c r="AYM69" s="54"/>
      <c r="AYN69" s="54"/>
      <c r="AYO69" s="54"/>
      <c r="AYP69" s="54"/>
      <c r="AYQ69" s="54"/>
      <c r="AYR69" s="54"/>
      <c r="AYS69" s="54"/>
      <c r="AYT69" s="54"/>
      <c r="AYU69" s="54"/>
      <c r="AYV69" s="54"/>
      <c r="AYW69" s="54"/>
      <c r="AYX69" s="54"/>
      <c r="AYY69" s="54"/>
      <c r="AYZ69" s="54"/>
      <c r="AZA69" s="54"/>
      <c r="AZB69" s="54"/>
      <c r="AZC69" s="54"/>
      <c r="AZD69" s="54"/>
      <c r="AZE69" s="54"/>
      <c r="AZF69" s="54"/>
      <c r="AZG69" s="54"/>
      <c r="AZH69" s="54"/>
      <c r="AZI69" s="54"/>
      <c r="AZJ69" s="54"/>
      <c r="AZK69" s="54"/>
      <c r="AZL69" s="54"/>
      <c r="AZM69" s="54"/>
      <c r="AZN69" s="54"/>
      <c r="AZO69" s="54"/>
      <c r="AZP69" s="54"/>
      <c r="AZQ69" s="54"/>
      <c r="AZR69" s="54"/>
      <c r="AZS69" s="54"/>
      <c r="AZT69" s="54"/>
      <c r="AZU69" s="54"/>
      <c r="AZV69" s="54"/>
      <c r="AZW69" s="54"/>
      <c r="AZX69" s="54"/>
      <c r="AZY69" s="54"/>
      <c r="AZZ69" s="54"/>
      <c r="BAA69" s="54"/>
      <c r="BAB69" s="54"/>
      <c r="BAC69" s="54"/>
      <c r="BAD69" s="54"/>
      <c r="BAE69" s="54"/>
      <c r="BAF69" s="54"/>
      <c r="BAG69" s="70"/>
      <c r="BAH69" s="55"/>
      <c r="BAI69" s="54"/>
      <c r="BAJ69" s="54"/>
      <c r="BAK69" s="54"/>
      <c r="BAL69" s="54"/>
      <c r="BAM69" s="54"/>
      <c r="BAN69" s="54"/>
      <c r="BAO69" s="54"/>
      <c r="BAP69" s="54"/>
      <c r="BAQ69" s="54"/>
      <c r="BAR69" s="54"/>
      <c r="BAS69" s="54"/>
      <c r="BAT69" s="54"/>
      <c r="BAU69" s="54"/>
      <c r="BAV69" s="54"/>
      <c r="BAW69" s="54"/>
      <c r="BAX69" s="54"/>
      <c r="BAY69" s="54"/>
      <c r="BAZ69" s="54"/>
      <c r="BBA69" s="54"/>
      <c r="BBB69" s="54"/>
      <c r="BBC69" s="54"/>
      <c r="BBD69" s="54"/>
      <c r="BBE69" s="54"/>
      <c r="BBF69" s="54"/>
      <c r="BBG69" s="54"/>
      <c r="BBH69" s="54"/>
      <c r="BBI69" s="54"/>
      <c r="BBJ69" s="54"/>
      <c r="BBK69" s="54"/>
      <c r="BBL69" s="54"/>
      <c r="BBM69" s="54"/>
      <c r="BBN69" s="54"/>
      <c r="BBO69" s="54"/>
      <c r="BBP69" s="54"/>
      <c r="BBQ69" s="54"/>
      <c r="BBR69" s="54"/>
      <c r="BBS69" s="54"/>
      <c r="BBT69" s="54"/>
      <c r="BBU69" s="54"/>
      <c r="BBV69" s="54"/>
      <c r="BBW69" s="54"/>
      <c r="BBX69" s="54"/>
      <c r="BBY69" s="54"/>
      <c r="BBZ69" s="54"/>
      <c r="BCA69" s="54"/>
      <c r="BCB69" s="54"/>
      <c r="BCC69" s="54"/>
      <c r="BCD69" s="54"/>
      <c r="BCE69" s="54"/>
      <c r="BCF69" s="54"/>
      <c r="BCG69" s="54"/>
      <c r="BCH69" s="54"/>
      <c r="BCI69" s="54"/>
      <c r="BCJ69" s="54"/>
      <c r="BCK69" s="54"/>
      <c r="BCL69" s="54"/>
      <c r="BCM69" s="54"/>
      <c r="BCN69" s="54"/>
      <c r="BCO69" s="70"/>
      <c r="BCP69" s="55"/>
      <c r="BCQ69" s="54"/>
      <c r="BCR69" s="54"/>
      <c r="BCS69" s="54"/>
      <c r="BCT69" s="54"/>
      <c r="BCU69" s="54"/>
      <c r="BCV69" s="54"/>
      <c r="BCW69" s="54"/>
      <c r="BCX69" s="54"/>
      <c r="BCY69" s="54"/>
      <c r="BCZ69" s="54"/>
      <c r="BDA69" s="54"/>
      <c r="BDB69" s="54"/>
      <c r="BDC69" s="54"/>
      <c r="BDD69" s="54"/>
      <c r="BDE69" s="54"/>
      <c r="BDF69" s="54"/>
      <c r="BDG69" s="54"/>
      <c r="BDH69" s="54"/>
      <c r="BDI69" s="54"/>
      <c r="BDJ69" s="54"/>
      <c r="BDK69" s="54"/>
      <c r="BDL69" s="54"/>
      <c r="BDM69" s="54"/>
      <c r="BDN69" s="54"/>
      <c r="BDO69" s="54"/>
      <c r="BDP69" s="54"/>
      <c r="BDQ69" s="54"/>
      <c r="BDR69" s="54"/>
      <c r="BDS69" s="54"/>
      <c r="BDT69" s="54"/>
      <c r="BDU69" s="54"/>
      <c r="BDV69" s="54"/>
      <c r="BDW69" s="54"/>
      <c r="BDX69" s="54"/>
      <c r="BDY69" s="54"/>
      <c r="BDZ69" s="54"/>
      <c r="BEA69" s="54"/>
      <c r="BEB69" s="54"/>
      <c r="BEC69" s="54"/>
      <c r="BED69" s="54"/>
      <c r="BEE69" s="54"/>
      <c r="BEF69" s="54"/>
      <c r="BEG69" s="54"/>
      <c r="BEH69" s="54"/>
      <c r="BEI69" s="54"/>
      <c r="BEJ69" s="54"/>
      <c r="BEK69" s="54"/>
      <c r="BEL69" s="54"/>
      <c r="BEM69" s="54"/>
      <c r="BEN69" s="54"/>
      <c r="BEO69" s="54"/>
      <c r="BEP69" s="54"/>
      <c r="BEQ69" s="54"/>
      <c r="BER69" s="54"/>
      <c r="BES69" s="54"/>
      <c r="BET69" s="54"/>
      <c r="BEU69" s="54"/>
      <c r="BEV69" s="54"/>
      <c r="BEW69" s="70"/>
      <c r="BEX69" s="55"/>
      <c r="BEY69" s="54"/>
      <c r="BEZ69" s="54"/>
      <c r="BFA69" s="54"/>
      <c r="BFB69" s="54"/>
      <c r="BFC69" s="54"/>
      <c r="BFD69" s="54"/>
      <c r="BFE69" s="54"/>
      <c r="BFF69" s="54"/>
      <c r="BFG69" s="54"/>
      <c r="BFH69" s="54"/>
      <c r="BFI69" s="54"/>
      <c r="BFJ69" s="54"/>
      <c r="BFK69" s="54"/>
      <c r="BFL69" s="54"/>
      <c r="BFM69" s="54"/>
      <c r="BFN69" s="54"/>
      <c r="BFO69" s="54"/>
      <c r="BFP69" s="54"/>
      <c r="BFQ69" s="54"/>
      <c r="BFR69" s="54"/>
      <c r="BFS69" s="54"/>
      <c r="BFT69" s="54"/>
      <c r="BFU69" s="54"/>
      <c r="BFV69" s="54"/>
      <c r="BFW69" s="54"/>
      <c r="BFX69" s="54"/>
      <c r="BFY69" s="54"/>
      <c r="BFZ69" s="54"/>
      <c r="BGA69" s="54"/>
      <c r="BGB69" s="54"/>
      <c r="BGC69" s="54"/>
      <c r="BGD69" s="54"/>
      <c r="BGE69" s="54"/>
      <c r="BGF69" s="54"/>
      <c r="BGG69" s="54"/>
      <c r="BGH69" s="54"/>
      <c r="BGI69" s="54"/>
      <c r="BGJ69" s="54"/>
      <c r="BGK69" s="54"/>
      <c r="BGL69" s="54"/>
      <c r="BGM69" s="54"/>
      <c r="BGN69" s="54"/>
      <c r="BGO69" s="54"/>
      <c r="BGP69" s="54"/>
      <c r="BGQ69" s="54"/>
      <c r="BGR69" s="54"/>
      <c r="BGS69" s="54"/>
      <c r="BGT69" s="54"/>
      <c r="BGU69" s="54"/>
      <c r="BGV69" s="54"/>
      <c r="BGW69" s="54"/>
      <c r="BGX69" s="54"/>
      <c r="BGY69" s="54"/>
      <c r="BGZ69" s="54"/>
      <c r="BHA69" s="54"/>
      <c r="BHB69" s="54"/>
      <c r="BHC69" s="54"/>
      <c r="BHD69" s="54"/>
      <c r="BHE69" s="70"/>
      <c r="BHF69" s="55"/>
      <c r="BHG69" s="54"/>
      <c r="BHH69" s="54"/>
      <c r="BHI69" s="54"/>
      <c r="BHJ69" s="54"/>
      <c r="BHK69" s="54"/>
      <c r="BHL69" s="54"/>
      <c r="BHM69" s="54"/>
      <c r="BHN69" s="54"/>
      <c r="BHO69" s="54"/>
      <c r="BHP69" s="54"/>
      <c r="BHQ69" s="54"/>
      <c r="BHR69" s="54"/>
      <c r="BHS69" s="54"/>
      <c r="BHT69" s="54"/>
      <c r="BHU69" s="54"/>
      <c r="BHV69" s="54"/>
      <c r="BHW69" s="54"/>
      <c r="BHX69" s="54"/>
      <c r="BHY69" s="54"/>
      <c r="BHZ69" s="54"/>
      <c r="BIA69" s="54"/>
      <c r="BIB69" s="54"/>
      <c r="BIC69" s="54"/>
      <c r="BID69" s="54"/>
      <c r="BIE69" s="54"/>
      <c r="BIF69" s="54"/>
      <c r="BIG69" s="54"/>
      <c r="BIH69" s="54"/>
      <c r="BII69" s="54"/>
      <c r="BIJ69" s="54"/>
      <c r="BIK69" s="54"/>
      <c r="BIL69" s="54"/>
      <c r="BIM69" s="54"/>
      <c r="BIN69" s="54"/>
      <c r="BIO69" s="54"/>
      <c r="BIP69" s="54"/>
      <c r="BIQ69" s="54"/>
      <c r="BIR69" s="54"/>
      <c r="BIS69" s="54"/>
      <c r="BIT69" s="54"/>
      <c r="BIU69" s="54"/>
      <c r="BIV69" s="54"/>
      <c r="BIW69" s="54"/>
      <c r="BIX69" s="54"/>
      <c r="BIY69" s="54"/>
      <c r="BIZ69" s="54"/>
      <c r="BJA69" s="54"/>
      <c r="BJB69" s="54"/>
      <c r="BJC69" s="54"/>
      <c r="BJD69" s="54"/>
      <c r="BJE69" s="54"/>
      <c r="BJF69" s="54"/>
      <c r="BJG69" s="54"/>
      <c r="BJH69" s="54"/>
      <c r="BJI69" s="54"/>
      <c r="BJJ69" s="54"/>
      <c r="BJK69" s="54"/>
      <c r="BJL69" s="54"/>
      <c r="BJM69" s="70"/>
      <c r="BJN69" s="55"/>
      <c r="BJO69" s="54"/>
      <c r="BJP69" s="54"/>
      <c r="BJQ69" s="54"/>
      <c r="BJR69" s="54"/>
      <c r="BJS69" s="54"/>
      <c r="BJT69" s="54"/>
      <c r="BJU69" s="54"/>
      <c r="BJV69" s="54"/>
      <c r="BJW69" s="54"/>
      <c r="BJX69" s="54"/>
      <c r="BJY69" s="54"/>
      <c r="BJZ69" s="54"/>
      <c r="BKA69" s="54"/>
      <c r="BKB69" s="54"/>
      <c r="BKC69" s="54"/>
      <c r="BKD69" s="54"/>
      <c r="BKE69" s="54"/>
      <c r="BKF69" s="54"/>
      <c r="BKG69" s="54"/>
      <c r="BKH69" s="54"/>
      <c r="BKI69" s="54"/>
      <c r="BKJ69" s="54"/>
      <c r="BKK69" s="54"/>
      <c r="BKL69" s="54"/>
      <c r="BKM69" s="54"/>
      <c r="BKN69" s="54"/>
      <c r="BKO69" s="54"/>
      <c r="BKP69" s="54"/>
      <c r="BKQ69" s="54"/>
      <c r="BKR69" s="54"/>
      <c r="BKS69" s="54"/>
      <c r="BKT69" s="54"/>
      <c r="BKU69" s="54"/>
      <c r="BKV69" s="54"/>
      <c r="BKW69" s="54"/>
      <c r="BKX69" s="54"/>
      <c r="BKY69" s="54"/>
      <c r="BKZ69" s="54"/>
      <c r="BLA69" s="54"/>
      <c r="BLB69" s="54"/>
      <c r="BLC69" s="54"/>
      <c r="BLD69" s="54"/>
      <c r="BLE69" s="54"/>
      <c r="BLF69" s="54"/>
      <c r="BLG69" s="54"/>
      <c r="BLH69" s="54"/>
      <c r="BLI69" s="54"/>
      <c r="BLJ69" s="54"/>
      <c r="BLK69" s="54"/>
      <c r="BLL69" s="54"/>
      <c r="BLM69" s="54"/>
      <c r="BLN69" s="54"/>
      <c r="BLO69" s="54"/>
      <c r="BLP69" s="54"/>
      <c r="BLQ69" s="54"/>
      <c r="BLR69" s="54"/>
      <c r="BLS69" s="54"/>
      <c r="BLT69" s="54"/>
      <c r="BLU69" s="70"/>
    </row>
    <row r="70" spans="1:1685" ht="20.100000000000001" customHeight="1" thickBot="1" x14ac:dyDescent="0.3">
      <c r="B70" s="53"/>
      <c r="C70" s="228"/>
      <c r="D70" s="229"/>
      <c r="E70" s="107" t="str">
        <f xml:space="preserve"> setValueToTime(E69)</f>
        <v>92h20min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96"/>
      <c r="AVS70" s="97"/>
      <c r="AVT70" s="97"/>
      <c r="AVU70" s="97"/>
      <c r="AVV70" s="97"/>
      <c r="AVW70" s="97"/>
      <c r="AVX70" s="97"/>
      <c r="AVY70" s="97"/>
      <c r="AVZ70" s="97"/>
      <c r="AWA70" s="97"/>
      <c r="AWB70" s="97"/>
      <c r="AWC70" s="97"/>
      <c r="AWD70" s="97"/>
      <c r="AWE70" s="97"/>
      <c r="AWF70" s="97"/>
      <c r="AWG70" s="97"/>
      <c r="AWH70" s="97"/>
      <c r="AWI70" s="97"/>
      <c r="AWJ70" s="97"/>
      <c r="AWK70" s="97"/>
      <c r="AWL70" s="97"/>
      <c r="AWM70" s="97"/>
      <c r="AWN70" s="97"/>
      <c r="AWO70" s="97"/>
      <c r="AWP70" s="97"/>
      <c r="AWQ70" s="97"/>
      <c r="AWR70" s="97"/>
      <c r="AWS70" s="97"/>
      <c r="AWT70" s="97"/>
      <c r="AWU70" s="97"/>
      <c r="AWV70" s="97"/>
      <c r="AWW70" s="97"/>
      <c r="AWX70" s="97"/>
      <c r="AWY70" s="97"/>
      <c r="AWZ70" s="97"/>
      <c r="AXA70" s="97"/>
      <c r="AXB70" s="97"/>
      <c r="AXC70" s="97"/>
      <c r="AXD70" s="97"/>
      <c r="AXE70" s="97"/>
      <c r="AXF70" s="97"/>
      <c r="AXG70" s="97"/>
      <c r="AXH70" s="97"/>
      <c r="AXI70" s="97"/>
      <c r="AXJ70" s="97"/>
      <c r="AXK70" s="97"/>
      <c r="AXL70" s="97"/>
      <c r="AXM70" s="97"/>
      <c r="AXN70" s="97"/>
      <c r="AXO70" s="97"/>
      <c r="AXP70" s="97"/>
      <c r="AXQ70" s="97"/>
      <c r="AXR70" s="97"/>
      <c r="AXS70" s="97"/>
      <c r="AXT70" s="97"/>
      <c r="AXU70" s="97"/>
      <c r="AXV70" s="97"/>
      <c r="AXW70" s="97"/>
      <c r="AXX70" s="97"/>
      <c r="AXY70" s="98"/>
      <c r="AXZ70" s="96"/>
      <c r="AYA70" s="97"/>
      <c r="AYB70" s="97"/>
      <c r="AYC70" s="97"/>
      <c r="AYD70" s="97"/>
      <c r="AYE70" s="97"/>
      <c r="AYF70" s="97"/>
      <c r="AYG70" s="97"/>
      <c r="AYH70" s="97"/>
      <c r="AYI70" s="97"/>
      <c r="AYJ70" s="97"/>
      <c r="AYK70" s="97"/>
      <c r="AYL70" s="97"/>
      <c r="AYM70" s="97"/>
      <c r="AYN70" s="97"/>
      <c r="AYO70" s="97"/>
      <c r="AYP70" s="97"/>
      <c r="AYQ70" s="97"/>
      <c r="AYR70" s="97"/>
      <c r="AYS70" s="97"/>
      <c r="AYT70" s="97"/>
      <c r="AYU70" s="97"/>
      <c r="AYV70" s="97"/>
      <c r="AYW70" s="97"/>
      <c r="AYX70" s="97"/>
      <c r="AYY70" s="97"/>
      <c r="AYZ70" s="97"/>
      <c r="AZA70" s="97"/>
      <c r="AZB70" s="97"/>
      <c r="AZC70" s="97"/>
      <c r="AZD70" s="97"/>
      <c r="AZE70" s="97"/>
      <c r="AZF70" s="97"/>
      <c r="AZG70" s="97"/>
      <c r="AZH70" s="97"/>
      <c r="AZI70" s="97"/>
      <c r="AZJ70" s="97"/>
      <c r="AZK70" s="97"/>
      <c r="AZL70" s="97"/>
      <c r="AZM70" s="97"/>
      <c r="AZN70" s="97"/>
      <c r="AZO70" s="97"/>
      <c r="AZP70" s="97"/>
      <c r="AZQ70" s="97"/>
      <c r="AZR70" s="97"/>
      <c r="AZS70" s="97"/>
      <c r="AZT70" s="97"/>
      <c r="AZU70" s="97"/>
      <c r="AZV70" s="97"/>
      <c r="AZW70" s="97"/>
      <c r="AZX70" s="97"/>
      <c r="AZY70" s="97"/>
      <c r="AZZ70" s="97"/>
      <c r="BAA70" s="97"/>
      <c r="BAB70" s="97"/>
      <c r="BAC70" s="97"/>
      <c r="BAD70" s="97"/>
      <c r="BAE70" s="97"/>
      <c r="BAF70" s="97"/>
      <c r="BAG70" s="98"/>
      <c r="BAH70" s="96"/>
      <c r="BAI70" s="97"/>
      <c r="BAJ70" s="97"/>
      <c r="BAK70" s="97"/>
      <c r="BAL70" s="97"/>
      <c r="BAM70" s="97"/>
      <c r="BAN70" s="97"/>
      <c r="BAO70" s="97"/>
      <c r="BAP70" s="97"/>
      <c r="BAQ70" s="97"/>
      <c r="BAR70" s="97"/>
      <c r="BAS70" s="97"/>
      <c r="BAT70" s="97"/>
      <c r="BAU70" s="97"/>
      <c r="BAV70" s="97"/>
      <c r="BAW70" s="97"/>
      <c r="BAX70" s="97"/>
      <c r="BAY70" s="97"/>
      <c r="BAZ70" s="97"/>
      <c r="BBA70" s="97"/>
      <c r="BBB70" s="97"/>
      <c r="BBC70" s="97"/>
      <c r="BBD70" s="97"/>
      <c r="BBE70" s="97"/>
      <c r="BBF70" s="97"/>
      <c r="BBG70" s="97"/>
      <c r="BBH70" s="97"/>
      <c r="BBI70" s="97"/>
      <c r="BBJ70" s="97"/>
      <c r="BBK70" s="97"/>
      <c r="BBL70" s="97"/>
      <c r="BBM70" s="97"/>
      <c r="BBN70" s="97"/>
      <c r="BBO70" s="97"/>
      <c r="BBP70" s="97"/>
      <c r="BBQ70" s="97"/>
      <c r="BBR70" s="97"/>
      <c r="BBS70" s="97"/>
      <c r="BBT70" s="97"/>
      <c r="BBU70" s="97"/>
      <c r="BBV70" s="97"/>
      <c r="BBW70" s="97"/>
      <c r="BBX70" s="97"/>
      <c r="BBY70" s="97"/>
      <c r="BBZ70" s="97"/>
      <c r="BCA70" s="97"/>
      <c r="BCB70" s="97"/>
      <c r="BCC70" s="97"/>
      <c r="BCD70" s="97"/>
      <c r="BCE70" s="97"/>
      <c r="BCF70" s="97"/>
      <c r="BCG70" s="97"/>
      <c r="BCH70" s="97"/>
      <c r="BCI70" s="97"/>
      <c r="BCJ70" s="97"/>
      <c r="BCK70" s="97"/>
      <c r="BCL70" s="97"/>
      <c r="BCM70" s="97"/>
      <c r="BCN70" s="97"/>
      <c r="BCO70" s="98"/>
      <c r="BCP70" s="96"/>
      <c r="BCQ70" s="97"/>
      <c r="BCR70" s="97"/>
      <c r="BCS70" s="97"/>
      <c r="BCT70" s="97"/>
      <c r="BCU70" s="97"/>
      <c r="BCV70" s="97"/>
      <c r="BCW70" s="97"/>
      <c r="BCX70" s="97"/>
      <c r="BCY70" s="97"/>
      <c r="BCZ70" s="97"/>
      <c r="BDA70" s="97"/>
      <c r="BDB70" s="97"/>
      <c r="BDC70" s="97"/>
      <c r="BDD70" s="97"/>
      <c r="BDE70" s="97"/>
      <c r="BDF70" s="97"/>
      <c r="BDG70" s="97"/>
      <c r="BDH70" s="97"/>
      <c r="BDI70" s="97"/>
      <c r="BDJ70" s="97"/>
      <c r="BDK70" s="97"/>
      <c r="BDL70" s="97"/>
      <c r="BDM70" s="97"/>
      <c r="BDN70" s="97"/>
      <c r="BDO70" s="97"/>
      <c r="BDP70" s="97"/>
      <c r="BDQ70" s="97"/>
      <c r="BDR70" s="97"/>
      <c r="BDS70" s="97"/>
      <c r="BDT70" s="97"/>
      <c r="BDU70" s="97"/>
      <c r="BDV70" s="97"/>
      <c r="BDW70" s="97"/>
      <c r="BDX70" s="97"/>
      <c r="BDY70" s="97"/>
      <c r="BDZ70" s="97"/>
      <c r="BEA70" s="97"/>
      <c r="BEB70" s="97"/>
      <c r="BEC70" s="97"/>
      <c r="BED70" s="97"/>
      <c r="BEE70" s="97"/>
      <c r="BEF70" s="97"/>
      <c r="BEG70" s="97"/>
      <c r="BEH70" s="97"/>
      <c r="BEI70" s="97"/>
      <c r="BEJ70" s="97"/>
      <c r="BEK70" s="97"/>
      <c r="BEL70" s="97"/>
      <c r="BEM70" s="97"/>
      <c r="BEN70" s="97"/>
      <c r="BEO70" s="97"/>
      <c r="BEP70" s="97"/>
      <c r="BEQ70" s="97"/>
      <c r="BER70" s="97"/>
      <c r="BES70" s="97"/>
      <c r="BET70" s="97"/>
      <c r="BEU70" s="97"/>
      <c r="BEV70" s="97"/>
      <c r="BEW70" s="98"/>
      <c r="BEX70" s="96"/>
      <c r="BEY70" s="97"/>
      <c r="BEZ70" s="97"/>
      <c r="BFA70" s="97"/>
      <c r="BFB70" s="97"/>
      <c r="BFC70" s="97"/>
      <c r="BFD70" s="97"/>
      <c r="BFE70" s="97"/>
      <c r="BFF70" s="97"/>
      <c r="BFG70" s="97"/>
      <c r="BFH70" s="97"/>
      <c r="BFI70" s="97"/>
      <c r="BFJ70" s="97"/>
      <c r="BFK70" s="97"/>
      <c r="BFL70" s="97"/>
      <c r="BFM70" s="97"/>
      <c r="BFN70" s="97"/>
      <c r="BFO70" s="97"/>
      <c r="BFP70" s="97"/>
      <c r="BFQ70" s="97"/>
      <c r="BFR70" s="97"/>
      <c r="BFS70" s="97"/>
      <c r="BFT70" s="97"/>
      <c r="BFU70" s="97"/>
      <c r="BFV70" s="97"/>
      <c r="BFW70" s="97"/>
      <c r="BFX70" s="97"/>
      <c r="BFY70" s="97"/>
      <c r="BFZ70" s="97"/>
      <c r="BGA70" s="97"/>
      <c r="BGB70" s="97"/>
      <c r="BGC70" s="97"/>
      <c r="BGD70" s="97"/>
      <c r="BGE70" s="97"/>
      <c r="BGF70" s="97"/>
      <c r="BGG70" s="97"/>
      <c r="BGH70" s="97"/>
      <c r="BGI70" s="97"/>
      <c r="BGJ70" s="97"/>
      <c r="BGK70" s="97"/>
      <c r="BGL70" s="97"/>
      <c r="BGM70" s="97"/>
      <c r="BGN70" s="97"/>
      <c r="BGO70" s="97"/>
      <c r="BGP70" s="97"/>
      <c r="BGQ70" s="97"/>
      <c r="BGR70" s="97"/>
      <c r="BGS70" s="97"/>
      <c r="BGT70" s="97"/>
      <c r="BGU70" s="97"/>
      <c r="BGV70" s="97"/>
      <c r="BGW70" s="97"/>
      <c r="BGX70" s="97"/>
      <c r="BGY70" s="97"/>
      <c r="BGZ70" s="97"/>
      <c r="BHA70" s="97"/>
      <c r="BHB70" s="97"/>
      <c r="BHC70" s="97"/>
      <c r="BHD70" s="97"/>
      <c r="BHE70" s="98"/>
      <c r="BHF70" s="96"/>
      <c r="BHG70" s="97"/>
      <c r="BHH70" s="97"/>
      <c r="BHI70" s="97"/>
      <c r="BHJ70" s="97"/>
      <c r="BHK70" s="97"/>
      <c r="BHL70" s="97"/>
      <c r="BHM70" s="97"/>
      <c r="BHN70" s="97"/>
      <c r="BHO70" s="97"/>
      <c r="BHP70" s="97"/>
      <c r="BHQ70" s="97"/>
      <c r="BHR70" s="97"/>
      <c r="BHS70" s="97"/>
      <c r="BHT70" s="97"/>
      <c r="BHU70" s="97"/>
      <c r="BHV70" s="97"/>
      <c r="BHW70" s="97"/>
      <c r="BHX70" s="97"/>
      <c r="BHY70" s="97"/>
      <c r="BHZ70" s="97"/>
      <c r="BIA70" s="97"/>
      <c r="BIB70" s="97"/>
      <c r="BIC70" s="97"/>
      <c r="BID70" s="97"/>
      <c r="BIE70" s="97"/>
      <c r="BIF70" s="97"/>
      <c r="BIG70" s="97"/>
      <c r="BIH70" s="97"/>
      <c r="BII70" s="97"/>
      <c r="BIJ70" s="97"/>
      <c r="BIK70" s="97"/>
      <c r="BIL70" s="97"/>
      <c r="BIM70" s="97"/>
      <c r="BIN70" s="97"/>
      <c r="BIO70" s="97"/>
      <c r="BIP70" s="97"/>
      <c r="BIQ70" s="97"/>
      <c r="BIR70" s="97"/>
      <c r="BIS70" s="97"/>
      <c r="BIT70" s="97"/>
      <c r="BIU70" s="97"/>
      <c r="BIV70" s="97"/>
      <c r="BIW70" s="97"/>
      <c r="BIX70" s="97"/>
      <c r="BIY70" s="97"/>
      <c r="BIZ70" s="97"/>
      <c r="BJA70" s="97"/>
      <c r="BJB70" s="97"/>
      <c r="BJC70" s="97"/>
      <c r="BJD70" s="97"/>
      <c r="BJE70" s="97"/>
      <c r="BJF70" s="97"/>
      <c r="BJG70" s="97"/>
      <c r="BJH70" s="97"/>
      <c r="BJI70" s="97"/>
      <c r="BJJ70" s="97"/>
      <c r="BJK70" s="97"/>
      <c r="BJL70" s="97"/>
      <c r="BJM70" s="98"/>
      <c r="BJN70" s="96"/>
      <c r="BJO70" s="97"/>
      <c r="BJP70" s="97"/>
      <c r="BJQ70" s="97"/>
      <c r="BJR70" s="97"/>
      <c r="BJS70" s="97"/>
      <c r="BJT70" s="97"/>
      <c r="BJU70" s="97"/>
      <c r="BJV70" s="97"/>
      <c r="BJW70" s="97"/>
      <c r="BJX70" s="97"/>
      <c r="BJY70" s="97"/>
      <c r="BJZ70" s="97"/>
      <c r="BKA70" s="97"/>
      <c r="BKB70" s="97"/>
      <c r="BKC70" s="97"/>
      <c r="BKD70" s="97"/>
      <c r="BKE70" s="97"/>
      <c r="BKF70" s="97"/>
      <c r="BKG70" s="97"/>
      <c r="BKH70" s="97"/>
      <c r="BKI70" s="97"/>
      <c r="BKJ70" s="97"/>
      <c r="BKK70" s="97"/>
      <c r="BKL70" s="97"/>
      <c r="BKM70" s="97"/>
      <c r="BKN70" s="97"/>
      <c r="BKO70" s="97"/>
      <c r="BKP70" s="97"/>
      <c r="BKQ70" s="97"/>
      <c r="BKR70" s="97"/>
      <c r="BKS70" s="97"/>
      <c r="BKT70" s="97"/>
      <c r="BKU70" s="97"/>
      <c r="BKV70" s="97"/>
      <c r="BKW70" s="97"/>
      <c r="BKX70" s="97"/>
      <c r="BKY70" s="97"/>
      <c r="BKZ70" s="97"/>
      <c r="BLA70" s="97"/>
      <c r="BLB70" s="97"/>
      <c r="BLC70" s="97"/>
      <c r="BLD70" s="97"/>
      <c r="BLE70" s="97"/>
      <c r="BLF70" s="97"/>
      <c r="BLG70" s="97"/>
      <c r="BLH70" s="97"/>
      <c r="BLI70" s="97"/>
      <c r="BLJ70" s="97"/>
      <c r="BLK70" s="97"/>
      <c r="BLL70" s="97"/>
      <c r="BLM70" s="97"/>
      <c r="BLN70" s="97"/>
      <c r="BLO70" s="97"/>
      <c r="BLP70" s="97"/>
      <c r="BLQ70" s="97"/>
      <c r="BLR70" s="97"/>
      <c r="BLS70" s="97"/>
      <c r="BLT70" s="97"/>
      <c r="BLU70" s="98"/>
    </row>
    <row r="71" spans="1:1685" ht="20.100000000000001" customHeight="1" x14ac:dyDescent="0.25">
      <c r="B71" s="53"/>
      <c r="C71" s="232" t="s">
        <v>10</v>
      </c>
      <c r="D71" s="233"/>
      <c r="E71" s="102">
        <f>SUM(E16,E18,E20,E22,E24,E26,E28,E30,E32,E34,E36,E38,E40,E42,E44,E46,E48,E50,E52,E54,E56,E58,E60,E62,E64,E66,E68)</f>
        <v>798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99"/>
      <c r="AVS71" s="99"/>
      <c r="AVT71" s="99"/>
      <c r="AVU71" s="99"/>
      <c r="AVV71" s="99"/>
      <c r="AVW71" s="99"/>
      <c r="AVX71" s="99"/>
      <c r="AVY71" s="99"/>
      <c r="AVZ71" s="99"/>
      <c r="AWA71" s="99"/>
      <c r="AWB71" s="99"/>
      <c r="AWC71" s="99"/>
      <c r="AWD71" s="99"/>
      <c r="AWE71" s="99"/>
      <c r="AWF71" s="99"/>
      <c r="AWG71" s="99"/>
      <c r="AWH71" s="99"/>
      <c r="AWI71" s="99"/>
      <c r="AWJ71" s="99"/>
      <c r="AWK71" s="99"/>
      <c r="AWL71" s="99"/>
      <c r="AWM71" s="99"/>
      <c r="AWN71" s="99"/>
      <c r="AWO71" s="99"/>
      <c r="AWP71" s="99"/>
      <c r="AWQ71" s="99"/>
      <c r="AWR71" s="99"/>
      <c r="AWS71" s="99"/>
      <c r="AWT71" s="99"/>
      <c r="AWU71" s="99"/>
      <c r="AWV71" s="99"/>
      <c r="AWW71" s="99"/>
      <c r="AWX71" s="99"/>
      <c r="AWY71" s="99"/>
      <c r="AWZ71" s="99"/>
      <c r="AXA71" s="99"/>
      <c r="AXB71" s="99"/>
      <c r="AXC71" s="99"/>
      <c r="AXD71" s="99"/>
      <c r="AXE71" s="99"/>
      <c r="AXF71" s="99"/>
      <c r="AXG71" s="99"/>
      <c r="AXH71" s="99"/>
      <c r="AXI71" s="99"/>
      <c r="AXJ71" s="99"/>
      <c r="AXK71" s="99"/>
      <c r="AXL71" s="99"/>
      <c r="AXM71" s="99"/>
      <c r="AXN71" s="99"/>
      <c r="AXO71" s="99"/>
      <c r="AXP71" s="99"/>
      <c r="AXQ71" s="99"/>
      <c r="AXR71" s="99"/>
      <c r="AXS71" s="99"/>
      <c r="AXT71" s="99"/>
      <c r="AXU71" s="99"/>
      <c r="AXV71" s="99"/>
      <c r="AXW71" s="99"/>
      <c r="AXX71" s="99"/>
      <c r="AXY71" s="100"/>
      <c r="AXZ71" s="99"/>
      <c r="AYA71" s="99"/>
      <c r="AYB71" s="99"/>
      <c r="AYC71" s="99"/>
      <c r="AYD71" s="99"/>
      <c r="AYE71" s="99"/>
      <c r="AYF71" s="99"/>
      <c r="AYG71" s="99"/>
      <c r="AYH71" s="99"/>
      <c r="AYI71" s="99"/>
      <c r="AYJ71" s="99"/>
      <c r="AYK71" s="99"/>
      <c r="AYL71" s="99"/>
      <c r="AYM71" s="99"/>
      <c r="AYN71" s="99"/>
      <c r="AYO71" s="99"/>
      <c r="AYP71" s="99"/>
      <c r="AYQ71" s="99"/>
      <c r="AYR71" s="99"/>
      <c r="AYS71" s="99"/>
      <c r="AYT71" s="99"/>
      <c r="AYU71" s="99"/>
      <c r="AYV71" s="99"/>
      <c r="AYW71" s="99"/>
      <c r="AYX71" s="99"/>
      <c r="AYY71" s="99"/>
      <c r="AYZ71" s="99"/>
      <c r="AZA71" s="99"/>
      <c r="AZB71" s="99"/>
      <c r="AZC71" s="99"/>
      <c r="AZD71" s="99"/>
      <c r="AZE71" s="99"/>
      <c r="AZF71" s="99"/>
      <c r="AZG71" s="99"/>
      <c r="AZH71" s="99"/>
      <c r="AZI71" s="99"/>
      <c r="AZJ71" s="99"/>
      <c r="AZK71" s="99"/>
      <c r="AZL71" s="99"/>
      <c r="AZM71" s="99"/>
      <c r="AZN71" s="99"/>
      <c r="AZO71" s="99"/>
      <c r="AZP71" s="99"/>
      <c r="AZQ71" s="99"/>
      <c r="AZR71" s="99"/>
      <c r="AZS71" s="99"/>
      <c r="AZT71" s="99"/>
      <c r="AZU71" s="99"/>
      <c r="AZV71" s="99"/>
      <c r="AZW71" s="99"/>
      <c r="AZX71" s="99"/>
      <c r="AZY71" s="99"/>
      <c r="AZZ71" s="99"/>
      <c r="BAA71" s="99"/>
      <c r="BAB71" s="99"/>
      <c r="BAC71" s="99"/>
      <c r="BAD71" s="99"/>
      <c r="BAE71" s="99"/>
      <c r="BAF71" s="99"/>
      <c r="BAG71" s="100"/>
      <c r="BAH71" s="99"/>
      <c r="BAI71" s="99"/>
      <c r="BAJ71" s="99"/>
      <c r="BAK71" s="99"/>
      <c r="BAL71" s="99"/>
      <c r="BAM71" s="99"/>
      <c r="BAN71" s="99"/>
      <c r="BAO71" s="99"/>
      <c r="BAP71" s="99"/>
      <c r="BAQ71" s="99"/>
      <c r="BAR71" s="99"/>
      <c r="BAS71" s="99"/>
      <c r="BAT71" s="99"/>
      <c r="BAU71" s="99"/>
      <c r="BAV71" s="99"/>
      <c r="BAW71" s="99"/>
      <c r="BAX71" s="99"/>
      <c r="BAY71" s="99"/>
      <c r="BAZ71" s="99"/>
      <c r="BBA71" s="99"/>
      <c r="BBB71" s="99"/>
      <c r="BBC71" s="99"/>
      <c r="BBD71" s="99"/>
      <c r="BBE71" s="99"/>
      <c r="BBF71" s="99"/>
      <c r="BBG71" s="99"/>
      <c r="BBH71" s="99"/>
      <c r="BBI71" s="99"/>
      <c r="BBJ71" s="99"/>
      <c r="BBK71" s="99"/>
      <c r="BBL71" s="99"/>
      <c r="BBM71" s="99"/>
      <c r="BBN71" s="99"/>
      <c r="BBO71" s="99"/>
      <c r="BBP71" s="99"/>
      <c r="BBQ71" s="99"/>
      <c r="BBR71" s="99"/>
      <c r="BBS71" s="99"/>
      <c r="BBT71" s="99"/>
      <c r="BBU71" s="99"/>
      <c r="BBV71" s="99"/>
      <c r="BBW71" s="99"/>
      <c r="BBX71" s="99"/>
      <c r="BBY71" s="99"/>
      <c r="BBZ71" s="99"/>
      <c r="BCA71" s="99"/>
      <c r="BCB71" s="99"/>
      <c r="BCC71" s="99"/>
      <c r="BCD71" s="99"/>
      <c r="BCE71" s="99"/>
      <c r="BCF71" s="99"/>
      <c r="BCG71" s="99"/>
      <c r="BCH71" s="99"/>
      <c r="BCI71" s="99"/>
      <c r="BCJ71" s="99"/>
      <c r="BCK71" s="99"/>
      <c r="BCL71" s="99"/>
      <c r="BCM71" s="99"/>
      <c r="BCN71" s="99"/>
      <c r="BCO71" s="100"/>
      <c r="BCP71" s="99"/>
      <c r="BCQ71" s="99"/>
      <c r="BCR71" s="99"/>
      <c r="BCS71" s="99"/>
      <c r="BCT71" s="99"/>
      <c r="BCU71" s="99"/>
      <c r="BCV71" s="99"/>
      <c r="BCW71" s="99"/>
      <c r="BCX71" s="99"/>
      <c r="BCY71" s="99"/>
      <c r="BCZ71" s="99"/>
      <c r="BDA71" s="99"/>
      <c r="BDB71" s="99"/>
      <c r="BDC71" s="99"/>
      <c r="BDD71" s="99"/>
      <c r="BDE71" s="99"/>
      <c r="BDF71" s="99"/>
      <c r="BDG71" s="99"/>
      <c r="BDH71" s="99"/>
      <c r="BDI71" s="99"/>
      <c r="BDJ71" s="99"/>
      <c r="BDK71" s="99"/>
      <c r="BDL71" s="99"/>
      <c r="BDM71" s="99"/>
      <c r="BDN71" s="99"/>
      <c r="BDO71" s="99"/>
      <c r="BDP71" s="99"/>
      <c r="BDQ71" s="99"/>
      <c r="BDR71" s="99"/>
      <c r="BDS71" s="99"/>
      <c r="BDT71" s="99"/>
      <c r="BDU71" s="99"/>
      <c r="BDV71" s="99"/>
      <c r="BDW71" s="99"/>
      <c r="BDX71" s="99"/>
      <c r="BDY71" s="99"/>
      <c r="BDZ71" s="99"/>
      <c r="BEA71" s="99"/>
      <c r="BEB71" s="99"/>
      <c r="BEC71" s="99"/>
      <c r="BED71" s="99"/>
      <c r="BEE71" s="99"/>
      <c r="BEF71" s="99"/>
      <c r="BEG71" s="99"/>
      <c r="BEH71" s="99"/>
      <c r="BEI71" s="99"/>
      <c r="BEJ71" s="99"/>
      <c r="BEK71" s="99"/>
      <c r="BEL71" s="99"/>
      <c r="BEM71" s="99"/>
      <c r="BEN71" s="99"/>
      <c r="BEO71" s="99"/>
      <c r="BEP71" s="99"/>
      <c r="BEQ71" s="99"/>
      <c r="BER71" s="99"/>
      <c r="BES71" s="99"/>
      <c r="BET71" s="99"/>
      <c r="BEU71" s="99"/>
      <c r="BEV71" s="99"/>
      <c r="BEW71" s="100"/>
      <c r="BEX71" s="99"/>
      <c r="BEY71" s="99"/>
      <c r="BEZ71" s="99"/>
      <c r="BFA71" s="99"/>
      <c r="BFB71" s="99"/>
      <c r="BFC71" s="99"/>
      <c r="BFD71" s="99"/>
      <c r="BFE71" s="99"/>
      <c r="BFF71" s="99"/>
      <c r="BFG71" s="99"/>
      <c r="BFH71" s="99"/>
      <c r="BFI71" s="99"/>
      <c r="BFJ71" s="99"/>
      <c r="BFK71" s="99"/>
      <c r="BFL71" s="99"/>
      <c r="BFM71" s="99"/>
      <c r="BFN71" s="99"/>
      <c r="BFO71" s="99"/>
      <c r="BFP71" s="99"/>
      <c r="BFQ71" s="99"/>
      <c r="BFR71" s="99"/>
      <c r="BFS71" s="99"/>
      <c r="BFT71" s="99"/>
      <c r="BFU71" s="99"/>
      <c r="BFV71" s="99"/>
      <c r="BFW71" s="99"/>
      <c r="BFX71" s="99"/>
      <c r="BFY71" s="99"/>
      <c r="BFZ71" s="99"/>
      <c r="BGA71" s="99"/>
      <c r="BGB71" s="99"/>
      <c r="BGC71" s="99"/>
      <c r="BGD71" s="99"/>
      <c r="BGE71" s="99"/>
      <c r="BGF71" s="99"/>
      <c r="BGG71" s="99"/>
      <c r="BGH71" s="99"/>
      <c r="BGI71" s="99"/>
      <c r="BGJ71" s="99"/>
      <c r="BGK71" s="99"/>
      <c r="BGL71" s="99"/>
      <c r="BGM71" s="99"/>
      <c r="BGN71" s="99"/>
      <c r="BGO71" s="99"/>
      <c r="BGP71" s="99"/>
      <c r="BGQ71" s="99"/>
      <c r="BGR71" s="99"/>
      <c r="BGS71" s="99"/>
      <c r="BGT71" s="99"/>
      <c r="BGU71" s="99"/>
      <c r="BGV71" s="99"/>
      <c r="BGW71" s="99"/>
      <c r="BGX71" s="99"/>
      <c r="BGY71" s="99"/>
      <c r="BGZ71" s="99"/>
      <c r="BHA71" s="99"/>
      <c r="BHB71" s="99"/>
      <c r="BHC71" s="99"/>
      <c r="BHD71" s="99"/>
      <c r="BHE71" s="100"/>
      <c r="BHF71" s="99"/>
      <c r="BHG71" s="99"/>
      <c r="BHH71" s="99"/>
      <c r="BHI71" s="99"/>
      <c r="BHJ71" s="99"/>
      <c r="BHK71" s="99"/>
      <c r="BHL71" s="99"/>
      <c r="BHM71" s="99"/>
      <c r="BHN71" s="99"/>
      <c r="BHO71" s="99"/>
      <c r="BHP71" s="99"/>
      <c r="BHQ71" s="99"/>
      <c r="BHR71" s="99"/>
      <c r="BHS71" s="99"/>
      <c r="BHT71" s="99"/>
      <c r="BHU71" s="99"/>
      <c r="BHV71" s="99"/>
      <c r="BHW71" s="99"/>
      <c r="BHX71" s="99"/>
      <c r="BHY71" s="99"/>
      <c r="BHZ71" s="99"/>
      <c r="BIA71" s="99"/>
      <c r="BIB71" s="99"/>
      <c r="BIC71" s="99"/>
      <c r="BID71" s="99"/>
      <c r="BIE71" s="99"/>
      <c r="BIF71" s="99"/>
      <c r="BIG71" s="99"/>
      <c r="BIH71" s="99"/>
      <c r="BII71" s="99"/>
      <c r="BIJ71" s="99"/>
      <c r="BIK71" s="99"/>
      <c r="BIL71" s="99"/>
      <c r="BIM71" s="99"/>
      <c r="BIN71" s="99"/>
      <c r="BIO71" s="99"/>
      <c r="BIP71" s="99"/>
      <c r="BIQ71" s="99"/>
      <c r="BIR71" s="99"/>
      <c r="BIS71" s="99"/>
      <c r="BIT71" s="99"/>
      <c r="BIU71" s="99"/>
      <c r="BIV71" s="99"/>
      <c r="BIW71" s="99"/>
      <c r="BIX71" s="99"/>
      <c r="BIY71" s="99"/>
      <c r="BIZ71" s="99"/>
      <c r="BJA71" s="99"/>
      <c r="BJB71" s="99"/>
      <c r="BJC71" s="99"/>
      <c r="BJD71" s="99"/>
      <c r="BJE71" s="99"/>
      <c r="BJF71" s="99"/>
      <c r="BJG71" s="99"/>
      <c r="BJH71" s="99"/>
      <c r="BJI71" s="99"/>
      <c r="BJJ71" s="99"/>
      <c r="BJK71" s="99"/>
      <c r="BJL71" s="99"/>
      <c r="BJM71" s="100"/>
      <c r="BJN71" s="99"/>
      <c r="BJO71" s="99"/>
      <c r="BJP71" s="99"/>
      <c r="BJQ71" s="99"/>
      <c r="BJR71" s="99"/>
      <c r="BJS71" s="99"/>
      <c r="BJT71" s="99"/>
      <c r="BJU71" s="99"/>
      <c r="BJV71" s="99"/>
      <c r="BJW71" s="99"/>
      <c r="BJX71" s="99"/>
      <c r="BJY71" s="99"/>
      <c r="BJZ71" s="99"/>
      <c r="BKA71" s="99"/>
      <c r="BKB71" s="99"/>
      <c r="BKC71" s="99"/>
      <c r="BKD71" s="99"/>
      <c r="BKE71" s="99"/>
      <c r="BKF71" s="99"/>
      <c r="BKG71" s="99"/>
      <c r="BKH71" s="99"/>
      <c r="BKI71" s="99"/>
      <c r="BKJ71" s="99"/>
      <c r="BKK71" s="99"/>
      <c r="BKL71" s="99"/>
      <c r="BKM71" s="99"/>
      <c r="BKN71" s="99"/>
      <c r="BKO71" s="99"/>
      <c r="BKP71" s="99"/>
      <c r="BKQ71" s="99"/>
      <c r="BKR71" s="99"/>
      <c r="BKS71" s="99"/>
      <c r="BKT71" s="99"/>
      <c r="BKU71" s="99"/>
      <c r="BKV71" s="99"/>
      <c r="BKW71" s="99"/>
      <c r="BKX71" s="99"/>
      <c r="BKY71" s="99"/>
      <c r="BKZ71" s="99"/>
      <c r="BLA71" s="99"/>
      <c r="BLB71" s="99"/>
      <c r="BLC71" s="99"/>
      <c r="BLD71" s="99"/>
      <c r="BLE71" s="99"/>
      <c r="BLF71" s="99"/>
      <c r="BLG71" s="99"/>
      <c r="BLH71" s="99"/>
      <c r="BLI71" s="99"/>
      <c r="BLJ71" s="99"/>
      <c r="BLK71" s="99"/>
      <c r="BLL71" s="99"/>
      <c r="BLM71" s="99"/>
      <c r="BLN71" s="99"/>
      <c r="BLO71" s="99"/>
      <c r="BLP71" s="99"/>
      <c r="BLQ71" s="99"/>
      <c r="BLR71" s="99"/>
      <c r="BLS71" s="99"/>
      <c r="BLT71" s="99"/>
      <c r="BLU71" s="100"/>
    </row>
    <row r="72" spans="1:1685" ht="20.100000000000001" customHeight="1" thickBot="1" x14ac:dyDescent="0.3">
      <c r="B72" s="53"/>
      <c r="C72" s="234"/>
      <c r="D72" s="235"/>
      <c r="E72" s="106" t="str">
        <f xml:space="preserve"> setValueToTime(E71)</f>
        <v>66h30min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56"/>
      <c r="AVS72" s="56"/>
      <c r="AVT72" s="56"/>
      <c r="AVU72" s="56"/>
      <c r="AVV72" s="56"/>
      <c r="AVW72" s="56"/>
      <c r="AVX72" s="56"/>
      <c r="AVY72" s="56"/>
      <c r="AVZ72" s="56"/>
      <c r="AWA72" s="56"/>
      <c r="AWB72" s="56"/>
      <c r="AWC72" s="56"/>
      <c r="AWD72" s="56"/>
      <c r="AWE72" s="56"/>
      <c r="AWF72" s="56"/>
      <c r="AWG72" s="56"/>
      <c r="AWH72" s="56"/>
      <c r="AWI72" s="56"/>
      <c r="AWJ72" s="56"/>
      <c r="AWK72" s="56"/>
      <c r="AWL72" s="56"/>
      <c r="AWM72" s="56"/>
      <c r="AWN72" s="56"/>
      <c r="AWO72" s="56"/>
      <c r="AWP72" s="56"/>
      <c r="AWQ72" s="56"/>
      <c r="AWR72" s="56"/>
      <c r="AWS72" s="56"/>
      <c r="AWT72" s="56"/>
      <c r="AWU72" s="56"/>
      <c r="AWV72" s="56"/>
      <c r="AWW72" s="56"/>
      <c r="AWX72" s="56"/>
      <c r="AWY72" s="56"/>
      <c r="AWZ72" s="56"/>
      <c r="AXA72" s="56"/>
      <c r="AXB72" s="56"/>
      <c r="AXC72" s="56"/>
      <c r="AXD72" s="56"/>
      <c r="AXE72" s="56"/>
      <c r="AXF72" s="56"/>
      <c r="AXG72" s="56"/>
      <c r="AXH72" s="56"/>
      <c r="AXI72" s="56"/>
      <c r="AXJ72" s="56"/>
      <c r="AXK72" s="56"/>
      <c r="AXL72" s="56"/>
      <c r="AXM72" s="56"/>
      <c r="AXN72" s="56"/>
      <c r="AXO72" s="56"/>
      <c r="AXP72" s="56"/>
      <c r="AXQ72" s="56"/>
      <c r="AXR72" s="56"/>
      <c r="AXS72" s="56"/>
      <c r="AXT72" s="56"/>
      <c r="AXU72" s="56"/>
      <c r="AXV72" s="56"/>
      <c r="AXW72" s="56"/>
      <c r="AXX72" s="56"/>
      <c r="AXY72" s="71"/>
      <c r="AXZ72" s="56"/>
      <c r="AYA72" s="56"/>
      <c r="AYB72" s="56"/>
      <c r="AYC72" s="56"/>
      <c r="AYD72" s="56"/>
      <c r="AYE72" s="56"/>
      <c r="AYF72" s="56"/>
      <c r="AYG72" s="56"/>
      <c r="AYH72" s="56"/>
      <c r="AYI72" s="56"/>
      <c r="AYJ72" s="56"/>
      <c r="AYK72" s="56"/>
      <c r="AYL72" s="56"/>
      <c r="AYM72" s="56"/>
      <c r="AYN72" s="56"/>
      <c r="AYO72" s="56"/>
      <c r="AYP72" s="56"/>
      <c r="AYQ72" s="56"/>
      <c r="AYR72" s="56"/>
      <c r="AYS72" s="56"/>
      <c r="AYT72" s="56"/>
      <c r="AYU72" s="56"/>
      <c r="AYV72" s="56"/>
      <c r="AYW72" s="56"/>
      <c r="AYX72" s="56"/>
      <c r="AYY72" s="56"/>
      <c r="AYZ72" s="56"/>
      <c r="AZA72" s="56"/>
      <c r="AZB72" s="56"/>
      <c r="AZC72" s="56"/>
      <c r="AZD72" s="56"/>
      <c r="AZE72" s="56"/>
      <c r="AZF72" s="56"/>
      <c r="AZG72" s="56"/>
      <c r="AZH72" s="56"/>
      <c r="AZI72" s="56"/>
      <c r="AZJ72" s="56"/>
      <c r="AZK72" s="56"/>
      <c r="AZL72" s="56"/>
      <c r="AZM72" s="56"/>
      <c r="AZN72" s="56"/>
      <c r="AZO72" s="56"/>
      <c r="AZP72" s="56"/>
      <c r="AZQ72" s="56"/>
      <c r="AZR72" s="56"/>
      <c r="AZS72" s="56"/>
      <c r="AZT72" s="56"/>
      <c r="AZU72" s="56"/>
      <c r="AZV72" s="56"/>
      <c r="AZW72" s="56"/>
      <c r="AZX72" s="56"/>
      <c r="AZY72" s="56"/>
      <c r="AZZ72" s="56"/>
      <c r="BAA72" s="56"/>
      <c r="BAB72" s="56"/>
      <c r="BAC72" s="56"/>
      <c r="BAD72" s="56"/>
      <c r="BAE72" s="56"/>
      <c r="BAF72" s="56"/>
      <c r="BAG72" s="71"/>
      <c r="BAH72" s="56"/>
      <c r="BAI72" s="56"/>
      <c r="BAJ72" s="56"/>
      <c r="BAK72" s="56"/>
      <c r="BAL72" s="56"/>
      <c r="BAM72" s="56"/>
      <c r="BAN72" s="56"/>
      <c r="BAO72" s="56"/>
      <c r="BAP72" s="56"/>
      <c r="BAQ72" s="56"/>
      <c r="BAR72" s="56"/>
      <c r="BAS72" s="56"/>
      <c r="BAT72" s="56"/>
      <c r="BAU72" s="56"/>
      <c r="BAV72" s="56"/>
      <c r="BAW72" s="56"/>
      <c r="BAX72" s="56"/>
      <c r="BAY72" s="56"/>
      <c r="BAZ72" s="56"/>
      <c r="BBA72" s="56"/>
      <c r="BBB72" s="56"/>
      <c r="BBC72" s="56"/>
      <c r="BBD72" s="56"/>
      <c r="BBE72" s="56"/>
      <c r="BBF72" s="56"/>
      <c r="BBG72" s="56"/>
      <c r="BBH72" s="56"/>
      <c r="BBI72" s="56"/>
      <c r="BBJ72" s="56"/>
      <c r="BBK72" s="56"/>
      <c r="BBL72" s="56"/>
      <c r="BBM72" s="56"/>
      <c r="BBN72" s="56"/>
      <c r="BBO72" s="56"/>
      <c r="BBP72" s="56"/>
      <c r="BBQ72" s="56"/>
      <c r="BBR72" s="56"/>
      <c r="BBS72" s="56"/>
      <c r="BBT72" s="56"/>
      <c r="BBU72" s="56"/>
      <c r="BBV72" s="56"/>
      <c r="BBW72" s="56"/>
      <c r="BBX72" s="56"/>
      <c r="BBY72" s="56"/>
      <c r="BBZ72" s="56"/>
      <c r="BCA72" s="56"/>
      <c r="BCB72" s="56"/>
      <c r="BCC72" s="56"/>
      <c r="BCD72" s="56"/>
      <c r="BCE72" s="56"/>
      <c r="BCF72" s="56"/>
      <c r="BCG72" s="56"/>
      <c r="BCH72" s="56"/>
      <c r="BCI72" s="56"/>
      <c r="BCJ72" s="56"/>
      <c r="BCK72" s="56"/>
      <c r="BCL72" s="56"/>
      <c r="BCM72" s="56"/>
      <c r="BCN72" s="56"/>
      <c r="BCO72" s="71"/>
      <c r="BCP72" s="56"/>
      <c r="BCQ72" s="56"/>
      <c r="BCR72" s="56"/>
      <c r="BCS72" s="56"/>
      <c r="BCT72" s="56"/>
      <c r="BCU72" s="56"/>
      <c r="BCV72" s="56"/>
      <c r="BCW72" s="56"/>
      <c r="BCX72" s="56"/>
      <c r="BCY72" s="56"/>
      <c r="BCZ72" s="56"/>
      <c r="BDA72" s="56"/>
      <c r="BDB72" s="56"/>
      <c r="BDC72" s="56"/>
      <c r="BDD72" s="56"/>
      <c r="BDE72" s="56"/>
      <c r="BDF72" s="56"/>
      <c r="BDG72" s="56"/>
      <c r="BDH72" s="56"/>
      <c r="BDI72" s="56"/>
      <c r="BDJ72" s="56"/>
      <c r="BDK72" s="56"/>
      <c r="BDL72" s="56"/>
      <c r="BDM72" s="56"/>
      <c r="BDN72" s="56"/>
      <c r="BDO72" s="56"/>
      <c r="BDP72" s="56"/>
      <c r="BDQ72" s="56"/>
      <c r="BDR72" s="56"/>
      <c r="BDS72" s="56"/>
      <c r="BDT72" s="56"/>
      <c r="BDU72" s="56"/>
      <c r="BDV72" s="56"/>
      <c r="BDW72" s="56"/>
      <c r="BDX72" s="56"/>
      <c r="BDY72" s="56"/>
      <c r="BDZ72" s="56"/>
      <c r="BEA72" s="56"/>
      <c r="BEB72" s="56"/>
      <c r="BEC72" s="56"/>
      <c r="BED72" s="56"/>
      <c r="BEE72" s="56"/>
      <c r="BEF72" s="56"/>
      <c r="BEG72" s="56"/>
      <c r="BEH72" s="56"/>
      <c r="BEI72" s="56"/>
      <c r="BEJ72" s="56"/>
      <c r="BEK72" s="56"/>
      <c r="BEL72" s="56"/>
      <c r="BEM72" s="56"/>
      <c r="BEN72" s="56"/>
      <c r="BEO72" s="56"/>
      <c r="BEP72" s="56"/>
      <c r="BEQ72" s="56"/>
      <c r="BER72" s="56"/>
      <c r="BES72" s="56"/>
      <c r="BET72" s="56"/>
      <c r="BEU72" s="56"/>
      <c r="BEV72" s="56"/>
      <c r="BEW72" s="71"/>
      <c r="BEX72" s="56"/>
      <c r="BEY72" s="56"/>
      <c r="BEZ72" s="56"/>
      <c r="BFA72" s="56"/>
      <c r="BFB72" s="56"/>
      <c r="BFC72" s="56"/>
      <c r="BFD72" s="56"/>
      <c r="BFE72" s="56"/>
      <c r="BFF72" s="56"/>
      <c r="BFG72" s="56"/>
      <c r="BFH72" s="56"/>
      <c r="BFI72" s="56"/>
      <c r="BFJ72" s="56"/>
      <c r="BFK72" s="56"/>
      <c r="BFL72" s="56"/>
      <c r="BFM72" s="56"/>
      <c r="BFN72" s="56"/>
      <c r="BFO72" s="56"/>
      <c r="BFP72" s="56"/>
      <c r="BFQ72" s="56"/>
      <c r="BFR72" s="56"/>
      <c r="BFS72" s="56"/>
      <c r="BFT72" s="56"/>
      <c r="BFU72" s="56"/>
      <c r="BFV72" s="56"/>
      <c r="BFW72" s="56"/>
      <c r="BFX72" s="56"/>
      <c r="BFY72" s="56"/>
      <c r="BFZ72" s="56"/>
      <c r="BGA72" s="56"/>
      <c r="BGB72" s="56"/>
      <c r="BGC72" s="56"/>
      <c r="BGD72" s="56"/>
      <c r="BGE72" s="56"/>
      <c r="BGF72" s="56"/>
      <c r="BGG72" s="56"/>
      <c r="BGH72" s="56"/>
      <c r="BGI72" s="56"/>
      <c r="BGJ72" s="56"/>
      <c r="BGK72" s="56"/>
      <c r="BGL72" s="56"/>
      <c r="BGM72" s="56"/>
      <c r="BGN72" s="56"/>
      <c r="BGO72" s="56"/>
      <c r="BGP72" s="56"/>
      <c r="BGQ72" s="56"/>
      <c r="BGR72" s="56"/>
      <c r="BGS72" s="56"/>
      <c r="BGT72" s="56"/>
      <c r="BGU72" s="56"/>
      <c r="BGV72" s="56"/>
      <c r="BGW72" s="56"/>
      <c r="BGX72" s="56"/>
      <c r="BGY72" s="56"/>
      <c r="BGZ72" s="56"/>
      <c r="BHA72" s="56"/>
      <c r="BHB72" s="56"/>
      <c r="BHC72" s="56"/>
      <c r="BHD72" s="56"/>
      <c r="BHE72" s="71"/>
      <c r="BHF72" s="56"/>
      <c r="BHG72" s="56"/>
      <c r="BHH72" s="56"/>
      <c r="BHI72" s="56"/>
      <c r="BHJ72" s="56"/>
      <c r="BHK72" s="56"/>
      <c r="BHL72" s="56"/>
      <c r="BHM72" s="56"/>
      <c r="BHN72" s="56"/>
      <c r="BHO72" s="56"/>
      <c r="BHP72" s="56"/>
      <c r="BHQ72" s="56"/>
      <c r="BHR72" s="56"/>
      <c r="BHS72" s="56"/>
      <c r="BHT72" s="56"/>
      <c r="BHU72" s="56"/>
      <c r="BHV72" s="56"/>
      <c r="BHW72" s="56"/>
      <c r="BHX72" s="56"/>
      <c r="BHY72" s="56"/>
      <c r="BHZ72" s="56"/>
      <c r="BIA72" s="56"/>
      <c r="BIB72" s="56"/>
      <c r="BIC72" s="56"/>
      <c r="BID72" s="56"/>
      <c r="BIE72" s="56"/>
      <c r="BIF72" s="56"/>
      <c r="BIG72" s="56"/>
      <c r="BIH72" s="56"/>
      <c r="BII72" s="56"/>
      <c r="BIJ72" s="56"/>
      <c r="BIK72" s="56"/>
      <c r="BIL72" s="56"/>
      <c r="BIM72" s="56"/>
      <c r="BIN72" s="56"/>
      <c r="BIO72" s="56"/>
      <c r="BIP72" s="56"/>
      <c r="BIQ72" s="56"/>
      <c r="BIR72" s="56"/>
      <c r="BIS72" s="56"/>
      <c r="BIT72" s="56"/>
      <c r="BIU72" s="56"/>
      <c r="BIV72" s="56"/>
      <c r="BIW72" s="56"/>
      <c r="BIX72" s="56"/>
      <c r="BIY72" s="56"/>
      <c r="BIZ72" s="56"/>
      <c r="BJA72" s="56"/>
      <c r="BJB72" s="56"/>
      <c r="BJC72" s="56"/>
      <c r="BJD72" s="56"/>
      <c r="BJE72" s="56"/>
      <c r="BJF72" s="56"/>
      <c r="BJG72" s="56"/>
      <c r="BJH72" s="56"/>
      <c r="BJI72" s="56"/>
      <c r="BJJ72" s="56"/>
      <c r="BJK72" s="56"/>
      <c r="BJL72" s="56"/>
      <c r="BJM72" s="71"/>
      <c r="BJN72" s="56"/>
      <c r="BJO72" s="56"/>
      <c r="BJP72" s="56"/>
      <c r="BJQ72" s="56"/>
      <c r="BJR72" s="56"/>
      <c r="BJS72" s="56"/>
      <c r="BJT72" s="56"/>
      <c r="BJU72" s="56"/>
      <c r="BJV72" s="56"/>
      <c r="BJW72" s="56"/>
      <c r="BJX72" s="56"/>
      <c r="BJY72" s="56"/>
      <c r="BJZ72" s="56"/>
      <c r="BKA72" s="56"/>
      <c r="BKB72" s="56"/>
      <c r="BKC72" s="56"/>
      <c r="BKD72" s="56"/>
      <c r="BKE72" s="56"/>
      <c r="BKF72" s="56"/>
      <c r="BKG72" s="56"/>
      <c r="BKH72" s="56"/>
      <c r="BKI72" s="56"/>
      <c r="BKJ72" s="56"/>
      <c r="BKK72" s="56"/>
      <c r="BKL72" s="56"/>
      <c r="BKM72" s="56"/>
      <c r="BKN72" s="56"/>
      <c r="BKO72" s="56"/>
      <c r="BKP72" s="56"/>
      <c r="BKQ72" s="56"/>
      <c r="BKR72" s="56"/>
      <c r="BKS72" s="56"/>
      <c r="BKT72" s="56"/>
      <c r="BKU72" s="56"/>
      <c r="BKV72" s="56"/>
      <c r="BKW72" s="56"/>
      <c r="BKX72" s="56"/>
      <c r="BKY72" s="56"/>
      <c r="BKZ72" s="56"/>
      <c r="BLA72" s="56"/>
      <c r="BLB72" s="56"/>
      <c r="BLC72" s="56"/>
      <c r="BLD72" s="56"/>
      <c r="BLE72" s="56"/>
      <c r="BLF72" s="56"/>
      <c r="BLG72" s="56"/>
      <c r="BLH72" s="56"/>
      <c r="BLI72" s="56"/>
      <c r="BLJ72" s="56"/>
      <c r="BLK72" s="56"/>
      <c r="BLL72" s="56"/>
      <c r="BLM72" s="56"/>
      <c r="BLN72" s="56"/>
      <c r="BLO72" s="56"/>
      <c r="BLP72" s="56"/>
      <c r="BLQ72" s="56"/>
      <c r="BLR72" s="56"/>
      <c r="BLS72" s="56"/>
      <c r="BLT72" s="56"/>
      <c r="BLU72" s="71"/>
    </row>
    <row r="73" spans="1:168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74"/>
      <c r="AWI73" s="74"/>
      <c r="AWJ73" s="74"/>
      <c r="AWK73" s="74"/>
      <c r="AWL73" s="74"/>
      <c r="AWM73" s="74"/>
      <c r="AWN73" s="74"/>
      <c r="AWO73" s="74"/>
      <c r="AWP73" s="74"/>
      <c r="AWQ73" s="74"/>
      <c r="AWR73" s="74"/>
      <c r="AWS73" s="74"/>
      <c r="AWT73" s="74"/>
      <c r="AWU73" s="74"/>
      <c r="AWV73" s="74"/>
      <c r="AWW73" s="74"/>
      <c r="AWX73" s="74"/>
      <c r="AWY73" s="74"/>
      <c r="AWZ73" s="74"/>
      <c r="AXA73" s="74"/>
      <c r="AXB73" s="74"/>
      <c r="AXC73" s="74"/>
      <c r="AXD73" s="74"/>
      <c r="AXE73" s="74"/>
      <c r="AXF73" s="74"/>
      <c r="AXG73" s="74"/>
      <c r="AXH73" s="74"/>
      <c r="AXI73" s="74"/>
      <c r="AXJ73" s="74"/>
      <c r="AXK73" s="74"/>
      <c r="AXL73" s="74"/>
      <c r="AXM73" s="74"/>
      <c r="AXN73" s="74"/>
      <c r="AXO73" s="74"/>
      <c r="AXP73" s="74"/>
      <c r="AXQ73" s="74"/>
      <c r="AXR73" s="74"/>
      <c r="AXS73" s="74"/>
      <c r="AXT73" s="74"/>
      <c r="AXU73" s="74"/>
      <c r="AXV73" s="74"/>
      <c r="AXW73" s="74"/>
      <c r="AXX73" s="74"/>
      <c r="AXY73" s="74"/>
      <c r="AXZ73" s="74"/>
      <c r="AYA73" s="74"/>
      <c r="AYB73" s="74"/>
      <c r="AYC73" s="74"/>
      <c r="AYD73" s="74"/>
      <c r="AYE73" s="74"/>
      <c r="AYF73" s="74"/>
      <c r="AYG73" s="74"/>
      <c r="AYH73" s="74"/>
      <c r="AYI73" s="74"/>
      <c r="AYJ73" s="74"/>
      <c r="AYK73" s="74"/>
      <c r="AYL73" s="74"/>
      <c r="AYM73" s="74"/>
      <c r="AYN73" s="74"/>
      <c r="AYO73" s="74"/>
      <c r="AYP73" s="74"/>
      <c r="AYQ73" s="74"/>
      <c r="AYR73" s="74"/>
      <c r="AYS73" s="74"/>
      <c r="AYT73" s="74"/>
      <c r="AYU73" s="74"/>
      <c r="AYV73" s="74"/>
      <c r="AYW73" s="74"/>
      <c r="AYX73" s="74"/>
      <c r="AYY73" s="74"/>
      <c r="AYZ73" s="74"/>
      <c r="AZA73" s="74"/>
      <c r="AZB73" s="74"/>
      <c r="AZC73" s="74"/>
      <c r="AZD73" s="74"/>
      <c r="AZE73" s="74"/>
      <c r="AZF73" s="74"/>
      <c r="AZG73" s="74"/>
      <c r="AZH73" s="74"/>
      <c r="AZI73" s="74"/>
      <c r="AZJ73" s="74"/>
      <c r="AZK73" s="74"/>
      <c r="AZL73" s="74"/>
      <c r="AZM73" s="74"/>
      <c r="AZN73" s="74"/>
      <c r="AZO73" s="74"/>
      <c r="AZP73" s="74"/>
      <c r="AZQ73" s="74"/>
      <c r="AZR73" s="74"/>
      <c r="AZS73" s="74"/>
      <c r="AZT73" s="74"/>
      <c r="AZU73" s="74"/>
      <c r="AZV73" s="74"/>
      <c r="AZW73" s="74"/>
      <c r="AZX73" s="74"/>
      <c r="AZY73" s="74"/>
      <c r="AZZ73" s="74"/>
      <c r="BAA73" s="74"/>
      <c r="BAB73" s="74"/>
      <c r="BAC73" s="74"/>
      <c r="BAD73" s="74"/>
      <c r="BAE73" s="74"/>
      <c r="BAF73" s="74"/>
      <c r="BAG73" s="74"/>
      <c r="BAH73" s="74"/>
      <c r="BAI73" s="74"/>
      <c r="BAJ73" s="74"/>
      <c r="BAK73" s="74"/>
      <c r="BAL73" s="74"/>
      <c r="BAM73" s="74"/>
      <c r="BAN73" s="74"/>
      <c r="BAO73" s="74"/>
      <c r="BAP73" s="74"/>
      <c r="BAQ73" s="74"/>
      <c r="BAR73" s="74"/>
      <c r="BAS73" s="74"/>
      <c r="BAT73" s="74"/>
      <c r="BAU73" s="74"/>
      <c r="BAV73" s="74"/>
      <c r="BAW73" s="74"/>
      <c r="BAX73" s="74"/>
      <c r="BAY73" s="74"/>
      <c r="BAZ73" s="74"/>
      <c r="BBA73" s="74"/>
      <c r="BBB73" s="74"/>
      <c r="BBC73" s="74"/>
      <c r="BBD73" s="74"/>
      <c r="BBE73" s="74"/>
      <c r="BBF73" s="74"/>
      <c r="BBG73" s="74"/>
      <c r="BBH73" s="74"/>
      <c r="BBI73" s="74"/>
      <c r="BBJ73" s="74"/>
      <c r="BBK73" s="74"/>
      <c r="BBL73" s="74"/>
      <c r="BBM73" s="74"/>
      <c r="BBN73" s="74"/>
      <c r="BBO73" s="74"/>
      <c r="BBP73" s="74"/>
      <c r="BBQ73" s="74"/>
      <c r="BBR73" s="74"/>
      <c r="BBS73" s="74"/>
      <c r="BBT73" s="74"/>
      <c r="BBU73" s="74"/>
      <c r="BBV73" s="74"/>
      <c r="BBW73" s="74"/>
      <c r="BBX73" s="74"/>
      <c r="BBY73" s="74"/>
      <c r="BBZ73" s="74"/>
      <c r="BCA73" s="74"/>
      <c r="BCB73" s="74"/>
      <c r="BCC73" s="74"/>
      <c r="BCD73" s="74"/>
      <c r="BCE73" s="74"/>
      <c r="BCF73" s="74"/>
      <c r="BCG73" s="74"/>
      <c r="BCH73" s="74"/>
      <c r="BCI73" s="74"/>
      <c r="BCJ73" s="74"/>
      <c r="BCK73" s="74"/>
      <c r="BCL73" s="74"/>
      <c r="BCM73" s="74"/>
      <c r="BCN73" s="74"/>
      <c r="BCO73" s="74"/>
      <c r="BCP73" s="74"/>
      <c r="BCQ73" s="74"/>
      <c r="BCR73" s="74"/>
      <c r="BCS73" s="74"/>
      <c r="BCT73" s="74"/>
      <c r="BCU73" s="74"/>
      <c r="BCV73" s="74"/>
      <c r="BCW73" s="74"/>
      <c r="BCX73" s="74"/>
      <c r="BCY73" s="74"/>
      <c r="BCZ73" s="74"/>
      <c r="BDA73" s="74"/>
      <c r="BDB73" s="74"/>
      <c r="BDC73" s="74"/>
      <c r="BDD73" s="74"/>
      <c r="BDE73" s="74"/>
      <c r="BDF73" s="74"/>
      <c r="BDG73" s="74"/>
      <c r="BDH73" s="74"/>
      <c r="BDI73" s="74"/>
      <c r="BDJ73" s="74"/>
      <c r="BDK73" s="74"/>
      <c r="BDL73" s="74"/>
      <c r="BDM73" s="74"/>
      <c r="BDN73" s="74"/>
      <c r="BDO73" s="74"/>
      <c r="BDP73" s="74"/>
      <c r="BDQ73" s="74"/>
      <c r="BDR73" s="74"/>
      <c r="BDS73" s="74"/>
      <c r="BDT73" s="74"/>
      <c r="BDU73" s="74"/>
      <c r="BDV73" s="74"/>
      <c r="BDW73" s="74"/>
      <c r="BDX73" s="74"/>
      <c r="BDY73" s="74"/>
      <c r="BDZ73" s="74"/>
      <c r="BEA73" s="74"/>
      <c r="BEB73" s="74"/>
      <c r="BEC73" s="74"/>
      <c r="BED73" s="74"/>
      <c r="BEE73" s="74"/>
      <c r="BEF73" s="74"/>
      <c r="BEG73" s="74"/>
      <c r="BEH73" s="74"/>
      <c r="BEI73" s="74"/>
      <c r="BEJ73" s="74"/>
      <c r="BEK73" s="74"/>
      <c r="BEL73" s="74"/>
      <c r="BEM73" s="74"/>
      <c r="BEN73" s="74"/>
      <c r="BEO73" s="74"/>
      <c r="BEP73" s="74"/>
      <c r="BEQ73" s="74"/>
      <c r="BER73" s="74"/>
      <c r="BES73" s="74"/>
      <c r="BET73" s="74"/>
      <c r="BEU73" s="74"/>
      <c r="BEV73" s="74"/>
      <c r="BEW73" s="74"/>
      <c r="BEX73" s="74"/>
      <c r="BEY73" s="74"/>
      <c r="BEZ73" s="74"/>
      <c r="BFA73" s="74"/>
      <c r="BFB73" s="74"/>
      <c r="BFC73" s="74"/>
      <c r="BFD73" s="74"/>
      <c r="BFE73" s="74"/>
      <c r="BFF73" s="74"/>
      <c r="BFG73" s="74"/>
      <c r="BFH73" s="74"/>
      <c r="BFI73" s="74"/>
      <c r="BFJ73" s="74"/>
      <c r="BFK73" s="74"/>
      <c r="BFL73" s="74"/>
      <c r="BFM73" s="74"/>
      <c r="BFN73" s="74"/>
      <c r="BFO73" s="74"/>
      <c r="BFP73" s="74"/>
      <c r="BFQ73" s="74"/>
      <c r="BFR73" s="74"/>
      <c r="BFS73" s="74"/>
      <c r="BFT73" s="74"/>
      <c r="BFU73" s="74"/>
      <c r="BFV73" s="74"/>
      <c r="BFW73" s="74"/>
      <c r="BFX73" s="74"/>
      <c r="BFY73" s="74"/>
      <c r="BFZ73" s="74"/>
      <c r="BGA73" s="74"/>
      <c r="BGB73" s="74"/>
      <c r="BGC73" s="74"/>
      <c r="BGD73" s="74"/>
      <c r="BGE73" s="74"/>
      <c r="BGF73" s="74"/>
      <c r="BGG73" s="74"/>
      <c r="BGH73" s="74"/>
      <c r="BGI73" s="74"/>
      <c r="BGJ73" s="74"/>
      <c r="BGK73" s="74"/>
      <c r="BGL73" s="74"/>
      <c r="BGM73" s="74"/>
      <c r="BGN73" s="74"/>
      <c r="BGO73" s="74"/>
      <c r="BGP73" s="74"/>
      <c r="BGQ73" s="74"/>
      <c r="BGR73" s="74"/>
      <c r="BGS73" s="74"/>
      <c r="BGT73" s="74"/>
      <c r="BGU73" s="74"/>
      <c r="BGV73" s="74"/>
      <c r="BGW73" s="74"/>
      <c r="BGX73" s="74"/>
      <c r="BGY73" s="74"/>
      <c r="BGZ73" s="74"/>
      <c r="BHA73" s="74"/>
      <c r="BHB73" s="74"/>
      <c r="BHC73" s="74"/>
      <c r="BHD73" s="74"/>
      <c r="BHE73" s="74"/>
      <c r="BHF73" s="74"/>
      <c r="BHG73" s="74"/>
      <c r="BHH73" s="74"/>
      <c r="BHI73" s="74"/>
      <c r="BHJ73" s="74"/>
      <c r="BHK73" s="74"/>
      <c r="BHL73" s="74"/>
      <c r="BHM73" s="74"/>
      <c r="BHN73" s="74"/>
      <c r="BHO73" s="74"/>
      <c r="BHP73" s="74"/>
      <c r="BHQ73" s="74"/>
      <c r="BHR73" s="74"/>
      <c r="BHS73" s="74"/>
      <c r="BHT73" s="74"/>
      <c r="BHU73" s="74"/>
      <c r="BHV73" s="74"/>
      <c r="BHW73" s="74"/>
      <c r="BHX73" s="74"/>
      <c r="BHY73" s="74"/>
      <c r="BHZ73" s="74"/>
      <c r="BIA73" s="74"/>
      <c r="BIB73" s="74"/>
      <c r="BIC73" s="74"/>
      <c r="BID73" s="74"/>
      <c r="BIE73" s="74"/>
      <c r="BIF73" s="74"/>
      <c r="BIG73" s="74"/>
      <c r="BIH73" s="74"/>
      <c r="BII73" s="74"/>
      <c r="BIJ73" s="74"/>
      <c r="BIK73" s="74"/>
      <c r="BIL73" s="74"/>
      <c r="BIM73" s="74"/>
      <c r="BIN73" s="74"/>
      <c r="BIO73" s="74"/>
      <c r="BIP73" s="74"/>
      <c r="BIQ73" s="74"/>
      <c r="BIR73" s="74"/>
      <c r="BIS73" s="74"/>
      <c r="BIT73" s="74"/>
      <c r="BIU73" s="74"/>
      <c r="BIV73" s="74"/>
      <c r="BIW73" s="74"/>
      <c r="BIX73" s="74"/>
      <c r="BIY73" s="74"/>
      <c r="BIZ73" s="74"/>
      <c r="BJA73" s="74"/>
      <c r="BJB73" s="74"/>
      <c r="BJC73" s="74"/>
      <c r="BJD73" s="74"/>
      <c r="BJE73" s="74"/>
      <c r="BJF73" s="74"/>
      <c r="BJG73" s="74"/>
      <c r="BJH73" s="74"/>
      <c r="BJI73" s="74"/>
      <c r="BJJ73" s="74"/>
      <c r="BJK73" s="74"/>
      <c r="BJL73" s="74"/>
      <c r="BJM73" s="74"/>
      <c r="BJN73" s="74"/>
      <c r="BJO73" s="74"/>
      <c r="BJP73" s="74"/>
      <c r="BJQ73" s="74"/>
      <c r="BJR73" s="74"/>
      <c r="BJS73" s="74"/>
      <c r="BJT73" s="74"/>
      <c r="BJU73" s="74"/>
      <c r="BJV73" s="74"/>
      <c r="BJW73" s="74"/>
      <c r="BJX73" s="74"/>
      <c r="BJY73" s="74"/>
      <c r="BJZ73" s="74"/>
      <c r="BKA73" s="74"/>
      <c r="BKB73" s="74"/>
      <c r="BKC73" s="74"/>
      <c r="BKD73" s="74"/>
      <c r="BKE73" s="74"/>
      <c r="BKF73" s="74"/>
      <c r="BKG73" s="74"/>
      <c r="BKH73" s="74"/>
      <c r="BKI73" s="74"/>
      <c r="BKJ73" s="74"/>
      <c r="BKK73" s="74"/>
      <c r="BKL73" s="74"/>
      <c r="BKM73" s="74"/>
      <c r="BKN73" s="74"/>
      <c r="BKO73" s="74"/>
      <c r="BKP73" s="74"/>
      <c r="BKQ73" s="74"/>
      <c r="BKR73" s="74"/>
      <c r="BKS73" s="74"/>
      <c r="BKT73" s="74"/>
      <c r="BKU73" s="74"/>
      <c r="BKV73" s="74"/>
      <c r="BKW73" s="74"/>
      <c r="BKX73" s="74"/>
      <c r="BKY73" s="74"/>
      <c r="BKZ73" s="74"/>
      <c r="BLA73" s="74"/>
      <c r="BLB73" s="74"/>
      <c r="BLC73" s="74"/>
      <c r="BLD73" s="74"/>
      <c r="BLE73" s="74"/>
      <c r="BLF73" s="74"/>
      <c r="BLG73" s="74"/>
      <c r="BLH73" s="74"/>
      <c r="BLI73" s="74"/>
      <c r="BLJ73" s="74"/>
      <c r="BLK73" s="74"/>
      <c r="BLL73" s="74"/>
      <c r="BLM73" s="74"/>
      <c r="BLN73" s="74"/>
      <c r="BLO73" s="74"/>
      <c r="BLP73" s="74"/>
      <c r="BLQ73" s="74"/>
      <c r="BLR73" s="74"/>
      <c r="BLS73" s="74"/>
      <c r="BLT73" s="74"/>
      <c r="BLU73" s="74"/>
    </row>
  </sheetData>
  <sheetProtection insertRows="0" insertHyperlinks="0" selectLockedCells="1"/>
  <mergeCells count="401"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4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245" max="1048575" man="1"/>
    <brk id="605" max="1048575" man="1"/>
    <brk id="965" max="1048575" man="1"/>
    <brk id="13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39"/>
  <sheetViews>
    <sheetView showGridLines="0" view="pageBreakPreview" zoomScale="98" zoomScaleNormal="100" zoomScaleSheetLayoutView="98" workbookViewId="0">
      <pane ySplit="1" topLeftCell="A283" activePane="bottomLeft" state="frozen"/>
      <selection activeCell="BC13" sqref="BC13"/>
      <selection pane="bottomLeft" activeCell="H99" sqref="H99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28</v>
      </c>
      <c r="C2" s="146"/>
      <c r="D2" s="67" t="s">
        <v>14</v>
      </c>
      <c r="E2" s="79">
        <v>45442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6" t="s">
        <v>13</v>
      </c>
      <c r="F3" s="257"/>
      <c r="G3" s="39"/>
    </row>
    <row r="4" spans="1:7" s="44" customFormat="1" x14ac:dyDescent="0.3">
      <c r="A4" s="41" t="s">
        <v>16</v>
      </c>
      <c r="B4" s="42">
        <v>2</v>
      </c>
      <c r="C4" s="135" t="s">
        <v>238</v>
      </c>
      <c r="D4" s="43" t="s">
        <v>99</v>
      </c>
      <c r="E4" s="258"/>
      <c r="F4" s="259"/>
      <c r="G4" s="3"/>
    </row>
    <row r="5" spans="1:7" s="44" customFormat="1" x14ac:dyDescent="0.3">
      <c r="A5" s="45" t="s">
        <v>77</v>
      </c>
      <c r="B5" s="46">
        <v>14</v>
      </c>
      <c r="C5" s="136" t="s">
        <v>239</v>
      </c>
      <c r="D5" s="47" t="s">
        <v>128</v>
      </c>
      <c r="E5" s="250"/>
      <c r="F5" s="251"/>
      <c r="G5" s="3"/>
    </row>
    <row r="6" spans="1:7" s="44" customFormat="1" x14ac:dyDescent="0.3">
      <c r="A6" s="45" t="s">
        <v>78</v>
      </c>
      <c r="B6" s="46">
        <v>24</v>
      </c>
      <c r="C6" s="136" t="s">
        <v>24</v>
      </c>
      <c r="D6" s="47" t="s">
        <v>129</v>
      </c>
      <c r="E6" s="250"/>
      <c r="F6" s="251"/>
      <c r="G6" s="3"/>
    </row>
    <row r="7" spans="1:7" s="44" customFormat="1" x14ac:dyDescent="0.3">
      <c r="A7" s="45"/>
      <c r="B7" s="46"/>
      <c r="C7" s="136" t="str">
        <f t="shared" ref="C7:C11" si="0" xml:space="preserve"> IF(B7="","",setValueToTime(B7))</f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0"/>
      <c r="F10" s="25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2"/>
      <c r="F11" s="253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174</v>
      </c>
      <c r="E12" s="254"/>
      <c r="F12" s="255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27</v>
      </c>
      <c r="C14" s="146"/>
      <c r="D14" s="67" t="s">
        <v>14</v>
      </c>
      <c r="E14" s="79">
        <v>45441</v>
      </c>
      <c r="F14" s="110" t="s">
        <v>46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6" t="s">
        <v>13</v>
      </c>
      <c r="F15" s="257"/>
      <c r="G15" s="39"/>
    </row>
    <row r="16" spans="1:7" s="44" customFormat="1" x14ac:dyDescent="0.3">
      <c r="A16" s="41" t="s">
        <v>16</v>
      </c>
      <c r="B16" s="42">
        <v>2</v>
      </c>
      <c r="C16" s="137" t="str">
        <f t="shared" ref="C16:C17" si="1" xml:space="preserve"> IF(B16="","",setValueToTime(B16))</f>
        <v>0h10min</v>
      </c>
      <c r="D16" s="43" t="s">
        <v>99</v>
      </c>
      <c r="E16" s="258"/>
      <c r="F16" s="259"/>
      <c r="G16" s="3"/>
    </row>
    <row r="17" spans="1:7" s="44" customFormat="1" x14ac:dyDescent="0.3">
      <c r="A17" s="45" t="s">
        <v>77</v>
      </c>
      <c r="B17" s="46">
        <v>14</v>
      </c>
      <c r="C17" s="137" t="str">
        <f t="shared" si="1"/>
        <v>1h10min</v>
      </c>
      <c r="D17" s="47" t="s">
        <v>128</v>
      </c>
      <c r="E17" s="250"/>
      <c r="F17" s="251"/>
      <c r="G17" s="3"/>
    </row>
    <row r="18" spans="1:7" s="44" customFormat="1" x14ac:dyDescent="0.3">
      <c r="A18" s="45" t="s">
        <v>78</v>
      </c>
      <c r="B18" s="46">
        <v>24</v>
      </c>
      <c r="C18" s="136" t="str">
        <f t="shared" ref="C18:C23" si="2" xml:space="preserve"> IF(B18="","",setValueToTime(B18))</f>
        <v>2h</v>
      </c>
      <c r="D18" s="202" t="s">
        <v>240</v>
      </c>
      <c r="E18" s="250"/>
      <c r="F18" s="251"/>
      <c r="G18" s="3"/>
    </row>
    <row r="19" spans="1:7" s="44" customFormat="1" x14ac:dyDescent="0.3">
      <c r="A19" s="45"/>
      <c r="B19" s="46"/>
      <c r="C19" s="136" t="str">
        <f t="shared" si="2"/>
        <v/>
      </c>
      <c r="D19" s="47"/>
      <c r="E19" s="250"/>
      <c r="F19" s="251"/>
      <c r="G19" s="3"/>
    </row>
    <row r="20" spans="1:7" s="44" customFormat="1" x14ac:dyDescent="0.3">
      <c r="A20" s="46"/>
      <c r="B20" s="46"/>
      <c r="C20" s="137" t="str">
        <f t="shared" si="2"/>
        <v/>
      </c>
      <c r="D20" s="47"/>
      <c r="E20" s="250"/>
      <c r="F20" s="251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250"/>
      <c r="F21" s="251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250"/>
      <c r="F22" s="251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252"/>
      <c r="F23" s="253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174</v>
      </c>
      <c r="E24" s="254"/>
      <c r="F24" s="255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26</v>
      </c>
      <c r="C26" s="146"/>
      <c r="D26" s="67" t="s">
        <v>14</v>
      </c>
      <c r="E26" s="79">
        <v>45441</v>
      </c>
      <c r="F26" s="110" t="s">
        <v>47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6" t="s">
        <v>13</v>
      </c>
      <c r="F27" s="257"/>
      <c r="G27" s="39"/>
    </row>
    <row r="28" spans="1:7" s="44" customFormat="1" x14ac:dyDescent="0.3">
      <c r="A28" s="45" t="s">
        <v>77</v>
      </c>
      <c r="B28" s="46">
        <v>20</v>
      </c>
      <c r="C28" s="136" t="str">
        <f t="shared" ref="C28" si="3" xml:space="preserve"> IF(B28="","",setValueToTime(B28))</f>
        <v>1h40min</v>
      </c>
      <c r="D28" s="47" t="s">
        <v>126</v>
      </c>
      <c r="E28" s="258"/>
      <c r="F28" s="259"/>
      <c r="G28" s="3"/>
    </row>
    <row r="29" spans="1:7" s="44" customFormat="1" x14ac:dyDescent="0.3">
      <c r="A29" s="45" t="s">
        <v>78</v>
      </c>
      <c r="B29" s="46">
        <v>20</v>
      </c>
      <c r="C29" s="136" t="str">
        <f t="shared" ref="C29:C35" si="4" xml:space="preserve"> IF(B29="","",setValueToTime(B29))</f>
        <v>1h40min</v>
      </c>
      <c r="D29" s="47" t="s">
        <v>127</v>
      </c>
      <c r="E29" s="250"/>
      <c r="F29" s="251"/>
      <c r="G29" s="3"/>
    </row>
    <row r="30" spans="1:7" s="44" customFormat="1" x14ac:dyDescent="0.3">
      <c r="A30" s="45"/>
      <c r="B30" s="46"/>
      <c r="C30" s="136" t="str">
        <f t="shared" si="4"/>
        <v/>
      </c>
      <c r="D30" s="47"/>
      <c r="E30" s="250"/>
      <c r="F30" s="251"/>
      <c r="G30" s="3"/>
    </row>
    <row r="31" spans="1:7" s="44" customFormat="1" x14ac:dyDescent="0.3">
      <c r="A31" s="45"/>
      <c r="B31" s="46"/>
      <c r="C31" s="136" t="str">
        <f t="shared" si="4"/>
        <v/>
      </c>
      <c r="D31" s="47"/>
      <c r="E31" s="250"/>
      <c r="F31" s="251"/>
      <c r="G31" s="3"/>
    </row>
    <row r="32" spans="1:7" s="44" customFormat="1" x14ac:dyDescent="0.3">
      <c r="A32" s="46"/>
      <c r="B32" s="46"/>
      <c r="C32" s="137" t="str">
        <f t="shared" si="4"/>
        <v/>
      </c>
      <c r="D32" s="47"/>
      <c r="E32" s="250"/>
      <c r="F32" s="251"/>
      <c r="G32" s="3"/>
    </row>
    <row r="33" spans="1:7" s="44" customFormat="1" x14ac:dyDescent="0.3">
      <c r="A33" s="46"/>
      <c r="B33" s="46"/>
      <c r="C33" s="137" t="str">
        <f t="shared" si="4"/>
        <v/>
      </c>
      <c r="D33" s="47"/>
      <c r="E33" s="250"/>
      <c r="F33" s="251"/>
      <c r="G33" s="3"/>
    </row>
    <row r="34" spans="1:7" s="44" customFormat="1" x14ac:dyDescent="0.3">
      <c r="A34" s="46"/>
      <c r="B34" s="46"/>
      <c r="C34" s="137" t="str">
        <f t="shared" si="4"/>
        <v/>
      </c>
      <c r="D34" s="47"/>
      <c r="E34" s="250"/>
      <c r="F34" s="251"/>
      <c r="G34" s="3"/>
    </row>
    <row r="35" spans="1:7" s="44" customFormat="1" ht="15" thickBot="1" x14ac:dyDescent="0.35">
      <c r="A35" s="48"/>
      <c r="B35" s="48"/>
      <c r="C35" s="138" t="str">
        <f t="shared" si="4"/>
        <v/>
      </c>
      <c r="D35" s="49"/>
      <c r="E35" s="252"/>
      <c r="F35" s="253"/>
      <c r="G35" s="3"/>
    </row>
    <row r="36" spans="1:7" s="44" customFormat="1" ht="15" thickBot="1" x14ac:dyDescent="0.35">
      <c r="A36" s="95" t="s">
        <v>28</v>
      </c>
      <c r="B36" s="69">
        <f>SUM(B28:B35)</f>
        <v>40</v>
      </c>
      <c r="C36" s="95" t="str">
        <f xml:space="preserve"> setValueToTime(B36)</f>
        <v>3h20min</v>
      </c>
      <c r="D36" s="192" t="s">
        <v>174</v>
      </c>
      <c r="E36" s="254"/>
      <c r="F36" s="255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25</v>
      </c>
      <c r="C38" s="146"/>
      <c r="D38" s="67" t="s">
        <v>14</v>
      </c>
      <c r="E38" s="79">
        <v>45439</v>
      </c>
      <c r="F38" s="110" t="s">
        <v>46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6" t="s">
        <v>13</v>
      </c>
      <c r="F39" s="257"/>
      <c r="G39" s="39"/>
    </row>
    <row r="40" spans="1:7" s="44" customFormat="1" x14ac:dyDescent="0.3">
      <c r="A40" s="41" t="s">
        <v>16</v>
      </c>
      <c r="B40" s="42">
        <v>2</v>
      </c>
      <c r="C40" s="137" t="str">
        <f t="shared" ref="C40:C41" si="5" xml:space="preserve"> IF(B40="","",setValueToTime(B40))</f>
        <v>0h10min</v>
      </c>
      <c r="D40" s="43" t="s">
        <v>99</v>
      </c>
      <c r="E40" s="258"/>
      <c r="F40" s="259"/>
      <c r="G40" s="3"/>
    </row>
    <row r="41" spans="1:7" s="44" customFormat="1" x14ac:dyDescent="0.3">
      <c r="A41" s="45" t="s">
        <v>15</v>
      </c>
      <c r="B41" s="46">
        <v>12</v>
      </c>
      <c r="C41" s="136" t="str">
        <f t="shared" si="5"/>
        <v>1h</v>
      </c>
      <c r="D41" s="47" t="s">
        <v>125</v>
      </c>
      <c r="E41" s="250"/>
      <c r="F41" s="251"/>
      <c r="G41" s="3"/>
    </row>
    <row r="42" spans="1:7" s="44" customFormat="1" x14ac:dyDescent="0.3">
      <c r="A42" s="45" t="s">
        <v>77</v>
      </c>
      <c r="B42" s="46">
        <v>8</v>
      </c>
      <c r="C42" s="136" t="str">
        <f t="shared" ref="C42:C47" si="6" xml:space="preserve"> IF(B42="","",setValueToTime(B42))</f>
        <v>0h40min</v>
      </c>
      <c r="D42" s="47" t="s">
        <v>130</v>
      </c>
      <c r="E42" s="250"/>
      <c r="F42" s="251"/>
      <c r="G42" s="3"/>
    </row>
    <row r="43" spans="1:7" s="44" customFormat="1" x14ac:dyDescent="0.3">
      <c r="A43" s="45" t="s">
        <v>89</v>
      </c>
      <c r="B43" s="46">
        <v>4</v>
      </c>
      <c r="C43" s="136" t="str">
        <f t="shared" si="6"/>
        <v>0h20min</v>
      </c>
      <c r="D43" s="47" t="s">
        <v>171</v>
      </c>
      <c r="E43" s="250"/>
      <c r="F43" s="251"/>
      <c r="G43" s="3"/>
    </row>
    <row r="44" spans="1:7" s="44" customFormat="1" x14ac:dyDescent="0.3">
      <c r="A44" s="46"/>
      <c r="B44" s="46"/>
      <c r="C44" s="137" t="str">
        <f t="shared" si="6"/>
        <v/>
      </c>
      <c r="D44" s="47"/>
      <c r="E44" s="250"/>
      <c r="F44" s="251"/>
      <c r="G44" s="3"/>
    </row>
    <row r="45" spans="1:7" s="44" customFormat="1" x14ac:dyDescent="0.3">
      <c r="A45" s="46"/>
      <c r="B45" s="46"/>
      <c r="C45" s="137" t="str">
        <f t="shared" si="6"/>
        <v/>
      </c>
      <c r="D45" s="47"/>
      <c r="E45" s="250"/>
      <c r="F45" s="251"/>
      <c r="G45" s="3"/>
    </row>
    <row r="46" spans="1:7" s="44" customFormat="1" x14ac:dyDescent="0.3">
      <c r="A46" s="46"/>
      <c r="B46" s="46"/>
      <c r="C46" s="137" t="str">
        <f t="shared" si="6"/>
        <v/>
      </c>
      <c r="D46" s="47"/>
      <c r="E46" s="250"/>
      <c r="F46" s="251"/>
      <c r="G46" s="3"/>
    </row>
    <row r="47" spans="1:7" s="44" customFormat="1" ht="15" thickBot="1" x14ac:dyDescent="0.35">
      <c r="A47" s="48"/>
      <c r="B47" s="48"/>
      <c r="C47" s="138" t="str">
        <f t="shared" si="6"/>
        <v/>
      </c>
      <c r="D47" s="49"/>
      <c r="E47" s="252"/>
      <c r="F47" s="253"/>
      <c r="G47" s="3"/>
    </row>
    <row r="48" spans="1:7" s="44" customFormat="1" ht="15" thickBot="1" x14ac:dyDescent="0.35">
      <c r="A48" s="95" t="s">
        <v>28</v>
      </c>
      <c r="B48" s="69">
        <f>SUM(B40:B47)</f>
        <v>26</v>
      </c>
      <c r="C48" s="95" t="str">
        <f xml:space="preserve"> setValueToTime(B48)</f>
        <v>2h10min</v>
      </c>
      <c r="D48" s="192" t="s">
        <v>184</v>
      </c>
      <c r="E48" s="254"/>
      <c r="F48" s="255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24</v>
      </c>
      <c r="C50" s="146"/>
      <c r="D50" s="67" t="s">
        <v>14</v>
      </c>
      <c r="E50" s="79">
        <v>45439</v>
      </c>
      <c r="F50" s="110" t="s">
        <v>47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6" t="s">
        <v>13</v>
      </c>
      <c r="F51" s="257"/>
      <c r="G51" s="39"/>
    </row>
    <row r="52" spans="1:7" s="44" customFormat="1" x14ac:dyDescent="0.3">
      <c r="A52" s="45" t="s">
        <v>15</v>
      </c>
      <c r="B52" s="46">
        <v>46</v>
      </c>
      <c r="C52" s="136" t="str">
        <f t="shared" ref="C52" si="7" xml:space="preserve"> IF(B52="","",setValueToTime(B52))</f>
        <v>3h50min</v>
      </c>
      <c r="D52" s="47" t="s">
        <v>125</v>
      </c>
      <c r="E52" s="258"/>
      <c r="F52" s="259"/>
      <c r="G52" s="3"/>
    </row>
    <row r="53" spans="1:7" s="44" customFormat="1" x14ac:dyDescent="0.3">
      <c r="A53" s="45"/>
      <c r="B53" s="46"/>
      <c r="C53" s="136" t="str">
        <f t="shared" ref="C53:C59" si="8" xml:space="preserve"> IF(B53="","",setValueToTime(B53))</f>
        <v/>
      </c>
      <c r="D53" s="47"/>
      <c r="E53" s="250"/>
      <c r="F53" s="251"/>
      <c r="G53" s="3"/>
    </row>
    <row r="54" spans="1:7" s="44" customFormat="1" x14ac:dyDescent="0.3">
      <c r="A54" s="45"/>
      <c r="B54" s="46"/>
      <c r="C54" s="136" t="str">
        <f t="shared" si="8"/>
        <v/>
      </c>
      <c r="D54" s="47"/>
      <c r="E54" s="250"/>
      <c r="F54" s="251"/>
      <c r="G54" s="3"/>
    </row>
    <row r="55" spans="1:7" s="44" customFormat="1" x14ac:dyDescent="0.3">
      <c r="A55" s="45"/>
      <c r="B55" s="46"/>
      <c r="C55" s="136" t="str">
        <f t="shared" si="8"/>
        <v/>
      </c>
      <c r="D55" s="47"/>
      <c r="E55" s="250"/>
      <c r="F55" s="251"/>
      <c r="G55" s="3"/>
    </row>
    <row r="56" spans="1:7" s="44" customFormat="1" x14ac:dyDescent="0.3">
      <c r="A56" s="46"/>
      <c r="B56" s="46"/>
      <c r="C56" s="137" t="str">
        <f t="shared" si="8"/>
        <v/>
      </c>
      <c r="D56" s="47"/>
      <c r="E56" s="250"/>
      <c r="F56" s="251"/>
      <c r="G56" s="3"/>
    </row>
    <row r="57" spans="1:7" s="44" customFormat="1" x14ac:dyDescent="0.3">
      <c r="A57" s="46"/>
      <c r="B57" s="46"/>
      <c r="C57" s="137" t="str">
        <f t="shared" si="8"/>
        <v/>
      </c>
      <c r="D57" s="47"/>
      <c r="E57" s="250"/>
      <c r="F57" s="251"/>
      <c r="G57" s="3"/>
    </row>
    <row r="58" spans="1:7" s="44" customFormat="1" x14ac:dyDescent="0.3">
      <c r="A58" s="46"/>
      <c r="B58" s="46"/>
      <c r="C58" s="137" t="str">
        <f t="shared" si="8"/>
        <v/>
      </c>
      <c r="D58" s="47"/>
      <c r="E58" s="250"/>
      <c r="F58" s="251"/>
      <c r="G58" s="3"/>
    </row>
    <row r="59" spans="1:7" s="44" customFormat="1" ht="15" thickBot="1" x14ac:dyDescent="0.35">
      <c r="A59" s="48"/>
      <c r="B59" s="48"/>
      <c r="C59" s="138" t="str">
        <f t="shared" si="8"/>
        <v/>
      </c>
      <c r="D59" s="49"/>
      <c r="E59" s="252"/>
      <c r="F59" s="253"/>
      <c r="G59" s="3"/>
    </row>
    <row r="60" spans="1:7" s="44" customFormat="1" ht="15" thickBot="1" x14ac:dyDescent="0.35">
      <c r="A60" s="95" t="s">
        <v>28</v>
      </c>
      <c r="B60" s="69">
        <f>SUM(B52:B59)</f>
        <v>46</v>
      </c>
      <c r="C60" s="95" t="str">
        <f xml:space="preserve"> setValueToTime(B60)</f>
        <v>3h50min</v>
      </c>
      <c r="D60" s="192" t="s">
        <v>176</v>
      </c>
      <c r="E60" s="254"/>
      <c r="F60" s="255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23</v>
      </c>
      <c r="C62" s="146"/>
      <c r="D62" s="67" t="s">
        <v>14</v>
      </c>
      <c r="E62" s="79">
        <v>45436</v>
      </c>
      <c r="F62" s="110" t="s">
        <v>46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6" t="s">
        <v>13</v>
      </c>
      <c r="F63" s="257"/>
      <c r="G63" s="39"/>
    </row>
    <row r="64" spans="1:7" s="44" customFormat="1" x14ac:dyDescent="0.3">
      <c r="A64" s="41" t="s">
        <v>16</v>
      </c>
      <c r="B64" s="42">
        <v>2</v>
      </c>
      <c r="C64" s="137" t="str">
        <f t="shared" ref="C64:C65" si="9" xml:space="preserve"> IF(B64="","",setValueToTime(B64))</f>
        <v>0h10min</v>
      </c>
      <c r="D64" s="43" t="s">
        <v>99</v>
      </c>
      <c r="E64" s="258"/>
      <c r="F64" s="259"/>
      <c r="G64" s="3"/>
    </row>
    <row r="65" spans="1:7" s="44" customFormat="1" x14ac:dyDescent="0.3">
      <c r="A65" s="45" t="s">
        <v>15</v>
      </c>
      <c r="B65" s="46">
        <v>26</v>
      </c>
      <c r="C65" s="136" t="str">
        <f t="shared" si="9"/>
        <v>2h10min</v>
      </c>
      <c r="D65" s="47" t="s">
        <v>125</v>
      </c>
      <c r="E65" s="250"/>
      <c r="F65" s="251"/>
      <c r="G65" s="3"/>
    </row>
    <row r="66" spans="1:7" s="44" customFormat="1" x14ac:dyDescent="0.3">
      <c r="A66" s="45" t="s">
        <v>89</v>
      </c>
      <c r="B66" s="46">
        <v>6</v>
      </c>
      <c r="C66" s="136" t="str">
        <f t="shared" ref="C66:C71" si="10" xml:space="preserve"> IF(B66="","",setValueToTime(B66))</f>
        <v>0h30min</v>
      </c>
      <c r="D66" s="47" t="s">
        <v>170</v>
      </c>
      <c r="E66" s="250"/>
      <c r="F66" s="251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0"/>
      <c r="F67" s="251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0"/>
      <c r="F68" s="251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0"/>
      <c r="F69" s="251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0"/>
      <c r="F70" s="251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2"/>
      <c r="F71" s="253"/>
      <c r="G71" s="3"/>
    </row>
    <row r="72" spans="1:7" s="44" customFormat="1" ht="15" thickBot="1" x14ac:dyDescent="0.35">
      <c r="A72" s="95" t="s">
        <v>28</v>
      </c>
      <c r="B72" s="69">
        <f>SUM(B64:B71)</f>
        <v>34</v>
      </c>
      <c r="C72" s="95" t="str">
        <f xml:space="preserve"> setValueToTime(B72)</f>
        <v>2h50min</v>
      </c>
      <c r="D72" s="192" t="s">
        <v>177</v>
      </c>
      <c r="E72" s="254"/>
      <c r="F72" s="255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22</v>
      </c>
      <c r="C74" s="146"/>
      <c r="D74" s="67" t="s">
        <v>14</v>
      </c>
      <c r="E74" s="79">
        <v>45436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6" t="s">
        <v>13</v>
      </c>
      <c r="F75" s="257"/>
      <c r="G75" s="39"/>
    </row>
    <row r="76" spans="1:7" s="44" customFormat="1" x14ac:dyDescent="0.3">
      <c r="A76" s="41" t="s">
        <v>89</v>
      </c>
      <c r="B76" s="42">
        <v>12</v>
      </c>
      <c r="C76" s="135" t="str">
        <f xml:space="preserve"> IF(B76="","",setValueToTime(B76))</f>
        <v>1h</v>
      </c>
      <c r="D76" s="43" t="s">
        <v>166</v>
      </c>
      <c r="E76" s="258"/>
      <c r="F76" s="259"/>
      <c r="G76" s="3"/>
    </row>
    <row r="77" spans="1:7" s="44" customFormat="1" x14ac:dyDescent="0.3">
      <c r="A77" s="45" t="s">
        <v>15</v>
      </c>
      <c r="B77" s="46">
        <v>32</v>
      </c>
      <c r="C77" s="136" t="str">
        <f t="shared" ref="C77:C83" si="11" xml:space="preserve"> IF(B77="","",setValueToTime(B77))</f>
        <v>2h40min</v>
      </c>
      <c r="D77" s="47" t="s">
        <v>125</v>
      </c>
      <c r="E77" s="250"/>
      <c r="F77" s="251"/>
      <c r="G77" s="3"/>
    </row>
    <row r="78" spans="1:7" s="44" customFormat="1" x14ac:dyDescent="0.3">
      <c r="A78" s="45"/>
      <c r="B78" s="46"/>
      <c r="C78" s="136" t="str">
        <f t="shared" si="11"/>
        <v/>
      </c>
      <c r="D78" s="47"/>
      <c r="E78" s="250"/>
      <c r="F78" s="251"/>
      <c r="G78" s="3"/>
    </row>
    <row r="79" spans="1:7" s="44" customFormat="1" x14ac:dyDescent="0.3">
      <c r="A79" s="45"/>
      <c r="B79" s="46"/>
      <c r="C79" s="136" t="str">
        <f t="shared" si="11"/>
        <v/>
      </c>
      <c r="D79" s="47"/>
      <c r="E79" s="250"/>
      <c r="F79" s="251"/>
      <c r="G79" s="3"/>
    </row>
    <row r="80" spans="1:7" s="44" customFormat="1" x14ac:dyDescent="0.3">
      <c r="A80" s="46"/>
      <c r="B80" s="46"/>
      <c r="C80" s="137" t="str">
        <f t="shared" si="11"/>
        <v/>
      </c>
      <c r="D80" s="47"/>
      <c r="E80" s="250"/>
      <c r="F80" s="251"/>
      <c r="G80" s="3"/>
    </row>
    <row r="81" spans="1:7" s="44" customFormat="1" x14ac:dyDescent="0.3">
      <c r="A81" s="46"/>
      <c r="B81" s="46"/>
      <c r="C81" s="137" t="str">
        <f t="shared" si="11"/>
        <v/>
      </c>
      <c r="D81" s="47"/>
      <c r="E81" s="250"/>
      <c r="F81" s="251"/>
      <c r="G81" s="3"/>
    </row>
    <row r="82" spans="1:7" s="44" customFormat="1" x14ac:dyDescent="0.3">
      <c r="A82" s="46"/>
      <c r="B82" s="46"/>
      <c r="C82" s="137" t="str">
        <f t="shared" si="11"/>
        <v/>
      </c>
      <c r="D82" s="47"/>
      <c r="E82" s="250"/>
      <c r="F82" s="251"/>
      <c r="G82" s="3"/>
    </row>
    <row r="83" spans="1:7" s="44" customFormat="1" ht="15" thickBot="1" x14ac:dyDescent="0.35">
      <c r="A83" s="48"/>
      <c r="B83" s="48"/>
      <c r="C83" s="138" t="str">
        <f t="shared" si="11"/>
        <v/>
      </c>
      <c r="D83" s="49"/>
      <c r="E83" s="252"/>
      <c r="F83" s="253"/>
      <c r="G83" s="3"/>
    </row>
    <row r="84" spans="1:7" s="44" customFormat="1" ht="15" thickBot="1" x14ac:dyDescent="0.35">
      <c r="A84" s="95" t="s">
        <v>28</v>
      </c>
      <c r="B84" s="69">
        <f>SUM(B76:B83)</f>
        <v>44</v>
      </c>
      <c r="C84" s="95" t="str">
        <f xml:space="preserve"> setValueToTime(B84)</f>
        <v>3h40min</v>
      </c>
      <c r="D84" s="192" t="s">
        <v>178</v>
      </c>
      <c r="E84" s="254"/>
      <c r="F84" s="255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21</v>
      </c>
      <c r="C86" s="146"/>
      <c r="D86" s="67" t="s">
        <v>14</v>
      </c>
      <c r="E86" s="79">
        <v>45435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6" t="s">
        <v>13</v>
      </c>
      <c r="F87" s="257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89" si="12" xml:space="preserve"> IF(B88="","",setValueToTime(B88))</f>
        <v>0h10min</v>
      </c>
      <c r="D88" s="43" t="s">
        <v>99</v>
      </c>
      <c r="E88" s="258"/>
      <c r="F88" s="259"/>
      <c r="G88" s="3"/>
    </row>
    <row r="89" spans="1:7" s="44" customFormat="1" x14ac:dyDescent="0.3">
      <c r="A89" s="45" t="s">
        <v>15</v>
      </c>
      <c r="B89" s="46">
        <v>36</v>
      </c>
      <c r="C89" s="137" t="str">
        <f t="shared" si="12"/>
        <v>3h</v>
      </c>
      <c r="D89" s="47" t="s">
        <v>125</v>
      </c>
      <c r="E89" s="250"/>
      <c r="F89" s="251"/>
      <c r="G89" s="3"/>
    </row>
    <row r="90" spans="1:7" s="44" customFormat="1" x14ac:dyDescent="0.3">
      <c r="A90" s="45"/>
      <c r="B90" s="46"/>
      <c r="C90" s="136" t="str">
        <f t="shared" ref="C90:C95" si="13" xml:space="preserve"> IF(B90="","",setValueToTime(B90))</f>
        <v/>
      </c>
      <c r="D90" s="47"/>
      <c r="E90" s="250"/>
      <c r="F90" s="251"/>
      <c r="G90" s="3"/>
    </row>
    <row r="91" spans="1:7" s="44" customFormat="1" x14ac:dyDescent="0.3">
      <c r="A91" s="45"/>
      <c r="B91" s="46"/>
      <c r="C91" s="136" t="str">
        <f t="shared" si="13"/>
        <v/>
      </c>
      <c r="D91" s="47"/>
      <c r="E91" s="250"/>
      <c r="F91" s="251"/>
      <c r="G91" s="3"/>
    </row>
    <row r="92" spans="1:7" s="44" customFormat="1" x14ac:dyDescent="0.3">
      <c r="A92" s="46"/>
      <c r="B92" s="46"/>
      <c r="C92" s="137" t="str">
        <f t="shared" si="13"/>
        <v/>
      </c>
      <c r="D92" s="47"/>
      <c r="E92" s="250"/>
      <c r="F92" s="251"/>
      <c r="G92" s="3"/>
    </row>
    <row r="93" spans="1:7" s="44" customFormat="1" x14ac:dyDescent="0.3">
      <c r="A93" s="46"/>
      <c r="B93" s="46"/>
      <c r="C93" s="137" t="str">
        <f t="shared" si="13"/>
        <v/>
      </c>
      <c r="D93" s="47"/>
      <c r="E93" s="250"/>
      <c r="F93" s="251"/>
      <c r="G93" s="3"/>
    </row>
    <row r="94" spans="1:7" s="44" customFormat="1" x14ac:dyDescent="0.3">
      <c r="A94" s="46"/>
      <c r="B94" s="46"/>
      <c r="C94" s="137" t="str">
        <f t="shared" si="13"/>
        <v/>
      </c>
      <c r="D94" s="47"/>
      <c r="E94" s="250"/>
      <c r="F94" s="251"/>
      <c r="G94" s="3"/>
    </row>
    <row r="95" spans="1:7" s="44" customFormat="1" ht="15" thickBot="1" x14ac:dyDescent="0.35">
      <c r="A95" s="48"/>
      <c r="B95" s="48"/>
      <c r="C95" s="138" t="str">
        <f t="shared" si="13"/>
        <v/>
      </c>
      <c r="D95" s="49"/>
      <c r="E95" s="252"/>
      <c r="F95" s="253"/>
      <c r="G95" s="3"/>
    </row>
    <row r="96" spans="1:7" s="44" customFormat="1" ht="15" thickBot="1" x14ac:dyDescent="0.35">
      <c r="A96" s="95" t="s">
        <v>28</v>
      </c>
      <c r="B96" s="69">
        <f>SUM(B88:B95)</f>
        <v>38</v>
      </c>
      <c r="C96" s="95" t="str">
        <f xml:space="preserve"> setValueToTime(B96)</f>
        <v>3h10min</v>
      </c>
      <c r="D96" s="192" t="s">
        <v>175</v>
      </c>
      <c r="E96" s="254"/>
      <c r="F96" s="255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20</v>
      </c>
      <c r="C98" s="146"/>
      <c r="D98" s="67" t="s">
        <v>14</v>
      </c>
      <c r="E98" s="79">
        <v>45434</v>
      </c>
      <c r="F98" s="110" t="s">
        <v>46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6" t="s">
        <v>13</v>
      </c>
      <c r="F99" s="257"/>
      <c r="G99" s="39"/>
    </row>
    <row r="100" spans="1:7" s="44" customFormat="1" x14ac:dyDescent="0.3">
      <c r="A100" s="41" t="s">
        <v>16</v>
      </c>
      <c r="B100" s="42">
        <v>2</v>
      </c>
      <c r="C100" s="137" t="str">
        <f t="shared" ref="C100:C103" si="14" xml:space="preserve"> IF(B100="","",setValueToTime(B100))</f>
        <v>0h10min</v>
      </c>
      <c r="D100" s="43" t="s">
        <v>99</v>
      </c>
      <c r="E100" s="258"/>
      <c r="F100" s="259"/>
      <c r="G100" s="3"/>
    </row>
    <row r="101" spans="1:7" s="44" customFormat="1" x14ac:dyDescent="0.3">
      <c r="A101" s="45" t="s">
        <v>77</v>
      </c>
      <c r="B101" s="46">
        <v>12</v>
      </c>
      <c r="C101" s="136" t="str">
        <f t="shared" si="14"/>
        <v>1h</v>
      </c>
      <c r="D101" s="47" t="s">
        <v>150</v>
      </c>
      <c r="E101" s="250"/>
      <c r="F101" s="251"/>
      <c r="G101" s="3"/>
    </row>
    <row r="102" spans="1:7" s="44" customFormat="1" x14ac:dyDescent="0.3">
      <c r="A102" s="45" t="s">
        <v>15</v>
      </c>
      <c r="B102" s="46">
        <v>22</v>
      </c>
      <c r="C102" s="137" t="str">
        <f t="shared" si="14"/>
        <v>1h50min</v>
      </c>
      <c r="D102" s="47" t="s">
        <v>125</v>
      </c>
      <c r="E102" s="250"/>
      <c r="F102" s="251"/>
      <c r="G102" s="3"/>
    </row>
    <row r="103" spans="1:7" s="44" customFormat="1" x14ac:dyDescent="0.3">
      <c r="A103" s="46"/>
      <c r="B103" s="46"/>
      <c r="C103" s="137" t="str">
        <f t="shared" si="14"/>
        <v/>
      </c>
      <c r="D103" s="47"/>
      <c r="E103" s="250"/>
      <c r="F103" s="251"/>
      <c r="G103" s="3"/>
    </row>
    <row r="104" spans="1:7" s="44" customFormat="1" x14ac:dyDescent="0.3">
      <c r="A104" s="46"/>
      <c r="B104" s="46"/>
      <c r="C104" s="137" t="str">
        <f t="shared" ref="C104:C107" si="15" xml:space="preserve"> IF(B104="","",setValueToTime(B104))</f>
        <v/>
      </c>
      <c r="D104" s="47"/>
      <c r="E104" s="250"/>
      <c r="F104" s="251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0"/>
      <c r="F105" s="251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0"/>
      <c r="F106" s="251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2"/>
      <c r="F107" s="253"/>
      <c r="G107" s="3"/>
    </row>
    <row r="108" spans="1:7" s="44" customFormat="1" ht="15" thickBot="1" x14ac:dyDescent="0.35">
      <c r="A108" s="95" t="s">
        <v>28</v>
      </c>
      <c r="B108" s="69">
        <f>SUM(B100:B107)</f>
        <v>36</v>
      </c>
      <c r="C108" s="95" t="str">
        <f xml:space="preserve"> setValueToTime(B108)</f>
        <v>3h</v>
      </c>
      <c r="D108" s="192" t="s">
        <v>112</v>
      </c>
      <c r="E108" s="254"/>
      <c r="F108" s="255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19</v>
      </c>
      <c r="C110" s="146"/>
      <c r="D110" s="67" t="s">
        <v>14</v>
      </c>
      <c r="E110" s="79">
        <v>45434</v>
      </c>
      <c r="F110" s="110" t="s">
        <v>47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6" t="s">
        <v>13</v>
      </c>
      <c r="F111" s="257"/>
      <c r="G111" s="39"/>
    </row>
    <row r="112" spans="1:7" s="44" customFormat="1" ht="40.5" x14ac:dyDescent="0.3">
      <c r="A112" s="41" t="s">
        <v>88</v>
      </c>
      <c r="B112" s="42">
        <v>40</v>
      </c>
      <c r="C112" s="135" t="str">
        <f xml:space="preserve"> IF(B112="","",setValueToTime(B112))</f>
        <v>3h20min</v>
      </c>
      <c r="D112" s="43" t="s">
        <v>124</v>
      </c>
      <c r="E112" s="258"/>
      <c r="F112" s="259"/>
      <c r="G112" s="3"/>
    </row>
    <row r="113" spans="1:7" s="44" customFormat="1" x14ac:dyDescent="0.3">
      <c r="A113" s="45"/>
      <c r="B113" s="46"/>
      <c r="C113" s="136"/>
      <c r="D113" s="47"/>
      <c r="E113" s="250"/>
      <c r="F113" s="251"/>
      <c r="G113" s="3"/>
    </row>
    <row r="114" spans="1:7" s="44" customFormat="1" x14ac:dyDescent="0.3">
      <c r="A114" s="45"/>
      <c r="B114" s="46"/>
      <c r="C114" s="136" t="str">
        <f t="shared" ref="C114:C119" si="16" xml:space="preserve"> IF(B114="","",setValueToTime(B114))</f>
        <v/>
      </c>
      <c r="D114" s="47"/>
      <c r="E114" s="250"/>
      <c r="F114" s="251"/>
      <c r="G114" s="3"/>
    </row>
    <row r="115" spans="1:7" s="44" customFormat="1" x14ac:dyDescent="0.3">
      <c r="A115" s="45"/>
      <c r="B115" s="46"/>
      <c r="C115" s="136" t="str">
        <f t="shared" si="16"/>
        <v/>
      </c>
      <c r="D115" s="47"/>
      <c r="E115" s="250"/>
      <c r="F115" s="251"/>
      <c r="G115" s="3"/>
    </row>
    <row r="116" spans="1:7" s="44" customFormat="1" x14ac:dyDescent="0.3">
      <c r="A116" s="46"/>
      <c r="B116" s="46"/>
      <c r="C116" s="137" t="str">
        <f t="shared" si="16"/>
        <v/>
      </c>
      <c r="D116" s="47"/>
      <c r="E116" s="250"/>
      <c r="F116" s="251"/>
      <c r="G116" s="3"/>
    </row>
    <row r="117" spans="1:7" s="44" customFormat="1" x14ac:dyDescent="0.3">
      <c r="A117" s="46"/>
      <c r="B117" s="46"/>
      <c r="C117" s="137" t="str">
        <f t="shared" si="16"/>
        <v/>
      </c>
      <c r="D117" s="47"/>
      <c r="E117" s="250"/>
      <c r="F117" s="251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0"/>
      <c r="F118" s="251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2"/>
      <c r="F119" s="253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174</v>
      </c>
      <c r="E120" s="254"/>
      <c r="F120" s="255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18</v>
      </c>
      <c r="C122" s="146"/>
      <c r="D122" s="67" t="s">
        <v>14</v>
      </c>
      <c r="E122" s="79">
        <v>45429</v>
      </c>
      <c r="F122" s="110" t="s">
        <v>46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6" t="s">
        <v>13</v>
      </c>
      <c r="F123" s="257"/>
      <c r="G123" s="39"/>
    </row>
    <row r="124" spans="1:7" s="44" customFormat="1" x14ac:dyDescent="0.3">
      <c r="A124" s="41" t="s">
        <v>16</v>
      </c>
      <c r="B124" s="42">
        <v>2</v>
      </c>
      <c r="C124" s="137" t="str">
        <f t="shared" ref="C124:C131" si="17" xml:space="preserve"> IF(B124="","",setValueToTime(B124))</f>
        <v>0h10min</v>
      </c>
      <c r="D124" s="43" t="s">
        <v>99</v>
      </c>
      <c r="E124" s="258"/>
      <c r="F124" s="259"/>
      <c r="G124" s="3"/>
    </row>
    <row r="125" spans="1:7" s="44" customFormat="1" ht="40.5" x14ac:dyDescent="0.3">
      <c r="A125" s="45" t="s">
        <v>88</v>
      </c>
      <c r="B125" s="46">
        <v>26</v>
      </c>
      <c r="C125" s="137" t="str">
        <f t="shared" si="17"/>
        <v>2h10min</v>
      </c>
      <c r="D125" s="47" t="s">
        <v>167</v>
      </c>
      <c r="E125" s="250"/>
      <c r="F125" s="251"/>
      <c r="G125" s="3"/>
    </row>
    <row r="126" spans="1:7" s="44" customFormat="1" ht="40.5" x14ac:dyDescent="0.3">
      <c r="A126" s="45" t="s">
        <v>88</v>
      </c>
      <c r="B126" s="46">
        <v>12</v>
      </c>
      <c r="C126" s="137" t="str">
        <f t="shared" si="17"/>
        <v>1h</v>
      </c>
      <c r="D126" s="47" t="s">
        <v>149</v>
      </c>
      <c r="E126" s="250"/>
      <c r="F126" s="251"/>
      <c r="G126" s="3"/>
    </row>
    <row r="127" spans="1:7" s="44" customFormat="1" x14ac:dyDescent="0.3">
      <c r="A127" s="45"/>
      <c r="B127" s="46"/>
      <c r="C127" s="137"/>
      <c r="D127" s="47"/>
      <c r="E127" s="250"/>
      <c r="F127" s="251"/>
      <c r="G127" s="3"/>
    </row>
    <row r="128" spans="1:7" s="44" customFormat="1" x14ac:dyDescent="0.3">
      <c r="A128" s="45"/>
      <c r="B128" s="46"/>
      <c r="C128" s="137"/>
      <c r="D128" s="47"/>
      <c r="E128" s="250"/>
      <c r="F128" s="251"/>
      <c r="G128" s="3"/>
    </row>
    <row r="129" spans="1:7" s="44" customFormat="1" x14ac:dyDescent="0.3">
      <c r="A129" s="45"/>
      <c r="B129" s="46"/>
      <c r="C129" s="137"/>
      <c r="D129" s="47"/>
      <c r="E129" s="250"/>
      <c r="F129" s="251"/>
      <c r="G129" s="3"/>
    </row>
    <row r="130" spans="1:7" s="44" customFormat="1" x14ac:dyDescent="0.3">
      <c r="A130" s="46"/>
      <c r="B130" s="46"/>
      <c r="C130" s="137" t="str">
        <f t="shared" si="17"/>
        <v/>
      </c>
      <c r="D130" s="47"/>
      <c r="E130" s="250"/>
      <c r="F130" s="251"/>
      <c r="G130" s="3"/>
    </row>
    <row r="131" spans="1:7" s="44" customFormat="1" ht="15" thickBot="1" x14ac:dyDescent="0.35">
      <c r="A131" s="48"/>
      <c r="B131" s="48"/>
      <c r="C131" s="138" t="str">
        <f t="shared" si="17"/>
        <v/>
      </c>
      <c r="D131" s="49"/>
      <c r="E131" s="252"/>
      <c r="F131" s="253"/>
      <c r="G131" s="3"/>
    </row>
    <row r="132" spans="1:7" s="44" customFormat="1" ht="15" thickBot="1" x14ac:dyDescent="0.35">
      <c r="A132" s="95" t="s">
        <v>28</v>
      </c>
      <c r="B132" s="69">
        <f>SUM(B124:B131)</f>
        <v>40</v>
      </c>
      <c r="C132" s="95" t="str">
        <f xml:space="preserve"> setValueToTime(B132)</f>
        <v>3h20min</v>
      </c>
      <c r="D132" s="192" t="s">
        <v>174</v>
      </c>
      <c r="E132" s="254"/>
      <c r="F132" s="255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17</v>
      </c>
      <c r="C134" s="146"/>
      <c r="D134" s="67" t="s">
        <v>14</v>
      </c>
      <c r="E134" s="79">
        <v>45429</v>
      </c>
      <c r="F134" s="110" t="s">
        <v>47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6" t="s">
        <v>13</v>
      </c>
      <c r="F135" s="257"/>
      <c r="G135" s="39"/>
    </row>
    <row r="136" spans="1:7" s="44" customFormat="1" ht="27" x14ac:dyDescent="0.3">
      <c r="A136" s="41" t="s">
        <v>15</v>
      </c>
      <c r="B136" s="42">
        <v>18</v>
      </c>
      <c r="C136" s="137" t="str">
        <f t="shared" ref="C136:C138" si="18" xml:space="preserve"> IF(B136="","",setValueToTime(B136))</f>
        <v>1h30min</v>
      </c>
      <c r="D136" s="43" t="s">
        <v>123</v>
      </c>
      <c r="E136" s="258"/>
      <c r="F136" s="259"/>
      <c r="G136" s="3"/>
    </row>
    <row r="137" spans="1:7" s="44" customFormat="1" x14ac:dyDescent="0.3">
      <c r="A137" s="45" t="s">
        <v>89</v>
      </c>
      <c r="B137" s="46">
        <v>12</v>
      </c>
      <c r="C137" s="137" t="str">
        <f t="shared" si="18"/>
        <v>1h</v>
      </c>
      <c r="D137" s="47" t="s">
        <v>168</v>
      </c>
      <c r="E137" s="250"/>
      <c r="F137" s="251"/>
      <c r="G137" s="3"/>
    </row>
    <row r="138" spans="1:7" s="44" customFormat="1" x14ac:dyDescent="0.3">
      <c r="A138" s="45" t="s">
        <v>58</v>
      </c>
      <c r="B138" s="46">
        <v>18</v>
      </c>
      <c r="C138" s="137" t="str">
        <f t="shared" si="18"/>
        <v>1h30min</v>
      </c>
      <c r="D138" s="47" t="s">
        <v>121</v>
      </c>
      <c r="E138" s="250"/>
      <c r="F138" s="251"/>
      <c r="G138" s="3"/>
    </row>
    <row r="139" spans="1:7" s="44" customFormat="1" x14ac:dyDescent="0.3">
      <c r="A139" s="45"/>
      <c r="B139" s="46"/>
      <c r="C139" s="137"/>
      <c r="D139" s="47"/>
      <c r="E139" s="250"/>
      <c r="F139" s="251"/>
      <c r="G139" s="3"/>
    </row>
    <row r="140" spans="1:7" s="44" customFormat="1" x14ac:dyDescent="0.3">
      <c r="A140" s="45"/>
      <c r="B140" s="46"/>
      <c r="C140" s="137"/>
      <c r="D140" s="47"/>
      <c r="E140" s="250"/>
      <c r="F140" s="251"/>
      <c r="G140" s="3"/>
    </row>
    <row r="141" spans="1:7" s="44" customFormat="1" x14ac:dyDescent="0.3">
      <c r="A141" s="45"/>
      <c r="B141" s="46"/>
      <c r="C141" s="137"/>
      <c r="D141" s="47"/>
      <c r="E141" s="250"/>
      <c r="F141" s="251"/>
      <c r="G141" s="3"/>
    </row>
    <row r="142" spans="1:7" s="44" customFormat="1" x14ac:dyDescent="0.3">
      <c r="A142" s="46"/>
      <c r="B142" s="46"/>
      <c r="C142" s="137" t="str">
        <f t="shared" ref="C142:C143" si="19" xml:space="preserve"> IF(B142="","",setValueToTime(B142))</f>
        <v/>
      </c>
      <c r="D142" s="47"/>
      <c r="E142" s="250"/>
      <c r="F142" s="251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2"/>
      <c r="F143" s="253"/>
      <c r="G143" s="3"/>
    </row>
    <row r="144" spans="1:7" s="44" customFormat="1" ht="15" thickBot="1" x14ac:dyDescent="0.35">
      <c r="A144" s="95" t="s">
        <v>28</v>
      </c>
      <c r="B144" s="69">
        <f>SUM(B136:B143)</f>
        <v>48</v>
      </c>
      <c r="C144" s="95" t="str">
        <f xml:space="preserve"> setValueToTime(B144)</f>
        <v>4h</v>
      </c>
      <c r="D144" s="192" t="s">
        <v>183</v>
      </c>
      <c r="E144" s="254"/>
      <c r="F144" s="255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16</v>
      </c>
      <c r="C146" s="146"/>
      <c r="D146" s="67" t="s">
        <v>14</v>
      </c>
      <c r="E146" s="79">
        <v>45428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6" t="s">
        <v>13</v>
      </c>
      <c r="F147" s="257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8"/>
      <c r="F148" s="259"/>
      <c r="G148" s="3"/>
    </row>
    <row r="149" spans="1:7" s="44" customFormat="1" x14ac:dyDescent="0.3">
      <c r="A149" s="45" t="s">
        <v>15</v>
      </c>
      <c r="B149" s="46">
        <v>12</v>
      </c>
      <c r="C149" s="137" t="str">
        <f t="shared" si="20"/>
        <v>1h</v>
      </c>
      <c r="D149" s="47" t="s">
        <v>122</v>
      </c>
      <c r="E149" s="250"/>
      <c r="F149" s="251"/>
      <c r="G149" s="3"/>
    </row>
    <row r="150" spans="1:7" s="44" customFormat="1" x14ac:dyDescent="0.3">
      <c r="A150" s="46" t="s">
        <v>58</v>
      </c>
      <c r="B150" s="46">
        <v>12</v>
      </c>
      <c r="C150" s="137" t="str">
        <f t="shared" si="20"/>
        <v>1h</v>
      </c>
      <c r="D150" s="47" t="s">
        <v>144</v>
      </c>
      <c r="E150" s="250"/>
      <c r="F150" s="251"/>
      <c r="G150" s="3"/>
    </row>
    <row r="151" spans="1:7" s="44" customFormat="1" ht="40.5" x14ac:dyDescent="0.3">
      <c r="A151" s="45" t="s">
        <v>88</v>
      </c>
      <c r="B151" s="46">
        <v>12</v>
      </c>
      <c r="C151" s="137" t="str">
        <f t="shared" si="20"/>
        <v>1h</v>
      </c>
      <c r="D151" s="47" t="s">
        <v>119</v>
      </c>
      <c r="E151" s="250"/>
      <c r="F151" s="251"/>
      <c r="G151" s="3"/>
    </row>
    <row r="152" spans="1:7" s="44" customFormat="1" x14ac:dyDescent="0.3">
      <c r="A152" s="46"/>
      <c r="B152" s="46"/>
      <c r="C152" s="137"/>
      <c r="D152" s="47"/>
      <c r="E152" s="250"/>
      <c r="F152" s="251"/>
      <c r="G152" s="3"/>
    </row>
    <row r="153" spans="1:7" s="44" customFormat="1" x14ac:dyDescent="0.3">
      <c r="A153" s="45"/>
      <c r="B153" s="46"/>
      <c r="C153" s="137"/>
      <c r="D153" s="47"/>
      <c r="E153" s="250"/>
      <c r="F153" s="251"/>
      <c r="G153" s="3"/>
    </row>
    <row r="154" spans="1:7" s="44" customFormat="1" x14ac:dyDescent="0.3">
      <c r="A154" s="46"/>
      <c r="B154" s="46"/>
      <c r="C154" s="137" t="str">
        <f t="shared" si="20"/>
        <v/>
      </c>
      <c r="D154" s="47"/>
      <c r="E154" s="250"/>
      <c r="F154" s="251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2"/>
      <c r="F155" s="253"/>
      <c r="G155" s="3"/>
    </row>
    <row r="156" spans="1:7" s="44" customFormat="1" ht="15" thickBot="1" x14ac:dyDescent="0.35">
      <c r="A156" s="95" t="s">
        <v>28</v>
      </c>
      <c r="B156" s="69">
        <f>SUM(B148:B155)</f>
        <v>38</v>
      </c>
      <c r="C156" s="95" t="str">
        <f xml:space="preserve"> setValueToTime(B156)</f>
        <v>3h10min</v>
      </c>
      <c r="D156" s="192" t="s">
        <v>175</v>
      </c>
      <c r="E156" s="254"/>
      <c r="F156" s="255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15</v>
      </c>
      <c r="C158" s="146"/>
      <c r="D158" s="67" t="s">
        <v>14</v>
      </c>
      <c r="E158" s="79">
        <v>45427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6" t="s">
        <v>13</v>
      </c>
      <c r="F159" s="257"/>
      <c r="G159" s="39"/>
    </row>
    <row r="160" spans="1:7" s="44" customFormat="1" x14ac:dyDescent="0.3">
      <c r="A160" s="41" t="s">
        <v>16</v>
      </c>
      <c r="B160" s="42">
        <v>2</v>
      </c>
      <c r="C160" s="137" t="str">
        <f t="shared" ref="C160:C167" si="21" xml:space="preserve"> IF(B160="","",setValueToTime(B160))</f>
        <v>0h10min</v>
      </c>
      <c r="D160" s="43" t="s">
        <v>99</v>
      </c>
      <c r="E160" s="258"/>
      <c r="F160" s="259"/>
      <c r="G160" s="3"/>
    </row>
    <row r="161" spans="1:7" s="44" customFormat="1" x14ac:dyDescent="0.3">
      <c r="A161" s="45" t="s">
        <v>15</v>
      </c>
      <c r="B161" s="46">
        <v>4</v>
      </c>
      <c r="C161" s="137" t="str">
        <f t="shared" si="21"/>
        <v>0h20min</v>
      </c>
      <c r="D161" s="47" t="s">
        <v>97</v>
      </c>
      <c r="E161" s="250"/>
      <c r="F161" s="251"/>
      <c r="G161" s="3"/>
    </row>
    <row r="162" spans="1:7" s="44" customFormat="1" x14ac:dyDescent="0.3">
      <c r="A162" s="45" t="s">
        <v>58</v>
      </c>
      <c r="B162" s="46">
        <v>30</v>
      </c>
      <c r="C162" s="137" t="str">
        <f t="shared" si="21"/>
        <v>2h30min</v>
      </c>
      <c r="D162" s="47" t="s">
        <v>120</v>
      </c>
      <c r="E162" s="250"/>
      <c r="F162" s="251"/>
      <c r="G162" s="3"/>
    </row>
    <row r="163" spans="1:7" s="44" customFormat="1" x14ac:dyDescent="0.3">
      <c r="A163" s="45"/>
      <c r="B163" s="46"/>
      <c r="C163" s="137" t="str">
        <f t="shared" si="21"/>
        <v/>
      </c>
      <c r="D163" s="47"/>
      <c r="E163" s="250"/>
      <c r="F163" s="251"/>
      <c r="G163" s="3"/>
    </row>
    <row r="164" spans="1:7" s="44" customFormat="1" x14ac:dyDescent="0.3">
      <c r="A164" s="45"/>
      <c r="B164" s="46"/>
      <c r="C164" s="137"/>
      <c r="D164" s="47"/>
      <c r="E164" s="250"/>
      <c r="F164" s="251"/>
      <c r="G164" s="3"/>
    </row>
    <row r="165" spans="1:7" s="44" customFormat="1" x14ac:dyDescent="0.3">
      <c r="A165" s="45"/>
      <c r="B165" s="46"/>
      <c r="C165" s="137"/>
      <c r="D165" s="47"/>
      <c r="E165" s="250"/>
      <c r="F165" s="251"/>
      <c r="G165" s="3"/>
    </row>
    <row r="166" spans="1:7" s="44" customFormat="1" x14ac:dyDescent="0.3">
      <c r="A166" s="45"/>
      <c r="B166" s="46"/>
      <c r="C166" s="137"/>
      <c r="D166" s="47"/>
      <c r="E166" s="250"/>
      <c r="F166" s="251"/>
      <c r="G166" s="3"/>
    </row>
    <row r="167" spans="1:7" s="44" customFormat="1" ht="15" thickBot="1" x14ac:dyDescent="0.35">
      <c r="A167" s="48"/>
      <c r="B167" s="48"/>
      <c r="C167" s="138" t="str">
        <f t="shared" si="21"/>
        <v/>
      </c>
      <c r="D167" s="49"/>
      <c r="E167" s="252"/>
      <c r="F167" s="253"/>
      <c r="G167" s="3"/>
    </row>
    <row r="168" spans="1:7" s="44" customFormat="1" ht="15" thickBot="1" x14ac:dyDescent="0.35">
      <c r="A168" s="95" t="s">
        <v>28</v>
      </c>
      <c r="B168" s="69">
        <f>SUM(B160:B167)</f>
        <v>36</v>
      </c>
      <c r="C168" s="95" t="str">
        <f xml:space="preserve"> setValueToTime(B168)</f>
        <v>3h</v>
      </c>
      <c r="D168" s="192" t="s">
        <v>112</v>
      </c>
      <c r="E168" s="254"/>
      <c r="F168" s="255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14</v>
      </c>
      <c r="C170" s="146"/>
      <c r="D170" s="67" t="s">
        <v>14</v>
      </c>
      <c r="E170" s="79">
        <v>45427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6" t="s">
        <v>13</v>
      </c>
      <c r="F171" s="257"/>
      <c r="G171" s="39"/>
    </row>
    <row r="172" spans="1:7" s="44" customFormat="1" ht="27" x14ac:dyDescent="0.3">
      <c r="A172" s="45" t="s">
        <v>87</v>
      </c>
      <c r="B172" s="46">
        <v>20</v>
      </c>
      <c r="C172" s="137" t="str">
        <f xml:space="preserve"> IF(B172="","",setValueToTime(B172))</f>
        <v>1h40min</v>
      </c>
      <c r="D172" s="47" t="s">
        <v>118</v>
      </c>
      <c r="E172" s="258"/>
      <c r="F172" s="259"/>
      <c r="G172" s="3"/>
    </row>
    <row r="173" spans="1:7" s="44" customFormat="1" ht="40.5" x14ac:dyDescent="0.3">
      <c r="A173" s="45" t="s">
        <v>88</v>
      </c>
      <c r="B173" s="46">
        <v>18</v>
      </c>
      <c r="C173" s="137" t="str">
        <f xml:space="preserve"> IF(B173="","",setValueToTime(B173))</f>
        <v>1h30min</v>
      </c>
      <c r="D173" s="47" t="s">
        <v>119</v>
      </c>
      <c r="E173" s="250"/>
      <c r="F173" s="251"/>
      <c r="G173" s="3"/>
    </row>
    <row r="174" spans="1:7" s="44" customFormat="1" x14ac:dyDescent="0.3">
      <c r="A174" s="45"/>
      <c r="B174" s="46"/>
      <c r="C174" s="137"/>
      <c r="D174" s="47"/>
      <c r="E174" s="250"/>
      <c r="F174" s="251"/>
      <c r="G174" s="3"/>
    </row>
    <row r="175" spans="1:7" s="44" customFormat="1" x14ac:dyDescent="0.3">
      <c r="A175" s="45"/>
      <c r="B175" s="46"/>
      <c r="C175" s="137"/>
      <c r="D175" s="47"/>
      <c r="E175" s="250"/>
      <c r="F175" s="251"/>
      <c r="G175" s="3"/>
    </row>
    <row r="176" spans="1:7" s="44" customFormat="1" x14ac:dyDescent="0.3">
      <c r="A176" s="45"/>
      <c r="B176" s="46"/>
      <c r="C176" s="137"/>
      <c r="D176" s="47"/>
      <c r="E176" s="250"/>
      <c r="F176" s="251"/>
      <c r="G176" s="3"/>
    </row>
    <row r="177" spans="1:7" s="44" customFormat="1" x14ac:dyDescent="0.3">
      <c r="A177" s="46"/>
      <c r="B177" s="46"/>
      <c r="C177" s="137" t="str">
        <f t="shared" ref="C177:C178" si="22" xml:space="preserve"> IF(B177="","",setValueToTime(B177))</f>
        <v/>
      </c>
      <c r="D177" s="47"/>
      <c r="E177" s="250"/>
      <c r="F177" s="251"/>
      <c r="G177" s="3"/>
    </row>
    <row r="178" spans="1:7" s="44" customFormat="1" x14ac:dyDescent="0.3">
      <c r="A178" s="46"/>
      <c r="B178" s="46"/>
      <c r="C178" s="137" t="str">
        <f t="shared" si="22"/>
        <v/>
      </c>
      <c r="D178" s="47"/>
      <c r="E178" s="250"/>
      <c r="F178" s="251"/>
      <c r="G178" s="3"/>
    </row>
    <row r="179" spans="1:7" s="44" customFormat="1" ht="15" thickBot="1" x14ac:dyDescent="0.35">
      <c r="A179" s="48"/>
      <c r="B179" s="48"/>
      <c r="C179" s="138" t="str">
        <f t="shared" ref="C179" si="23" xml:space="preserve"> IF(B179="","",setValueToTime(B179))</f>
        <v/>
      </c>
      <c r="D179" s="49"/>
      <c r="E179" s="252"/>
      <c r="F179" s="253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 t="s">
        <v>175</v>
      </c>
      <c r="E180" s="254"/>
      <c r="F180" s="255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13</v>
      </c>
      <c r="C182" s="146"/>
      <c r="D182" s="67" t="s">
        <v>14</v>
      </c>
      <c r="E182" s="79">
        <v>45425</v>
      </c>
      <c r="F182" s="110" t="s">
        <v>46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6" t="s">
        <v>13</v>
      </c>
      <c r="F183" s="257"/>
      <c r="G183" s="39"/>
    </row>
    <row r="184" spans="1:7" s="44" customFormat="1" x14ac:dyDescent="0.3">
      <c r="A184" s="41" t="s">
        <v>16</v>
      </c>
      <c r="B184" s="42">
        <v>2</v>
      </c>
      <c r="C184" s="137" t="str">
        <f t="shared" ref="C184:C191" si="24" xml:space="preserve"> IF(B184="","",setValueToTime(B184))</f>
        <v>0h10min</v>
      </c>
      <c r="D184" s="43" t="s">
        <v>99</v>
      </c>
      <c r="E184" s="258"/>
      <c r="F184" s="259"/>
      <c r="G184" s="3"/>
    </row>
    <row r="185" spans="1:7" s="44" customFormat="1" x14ac:dyDescent="0.3">
      <c r="A185" s="45" t="s">
        <v>15</v>
      </c>
      <c r="B185" s="46">
        <v>8</v>
      </c>
      <c r="C185" s="137" t="str">
        <f t="shared" si="24"/>
        <v>0h40min</v>
      </c>
      <c r="D185" s="47" t="s">
        <v>143</v>
      </c>
      <c r="E185" s="250"/>
      <c r="F185" s="251"/>
      <c r="G185" s="3"/>
    </row>
    <row r="186" spans="1:7" s="44" customFormat="1" ht="27" x14ac:dyDescent="0.3">
      <c r="A186" s="45" t="s">
        <v>86</v>
      </c>
      <c r="B186" s="46">
        <v>16</v>
      </c>
      <c r="C186" s="137" t="str">
        <f t="shared" ref="C186" si="25" xml:space="preserve"> IF(B186="","",setValueToTime(B186))</f>
        <v>1h20min</v>
      </c>
      <c r="D186" s="47" t="s">
        <v>117</v>
      </c>
      <c r="E186" s="250"/>
      <c r="F186" s="251"/>
      <c r="G186" s="3"/>
    </row>
    <row r="187" spans="1:7" s="44" customFormat="1" x14ac:dyDescent="0.3">
      <c r="A187" s="45" t="s">
        <v>89</v>
      </c>
      <c r="B187" s="46">
        <v>4</v>
      </c>
      <c r="C187" s="137" t="str">
        <f t="shared" si="24"/>
        <v>0h20min</v>
      </c>
      <c r="D187" s="47" t="s">
        <v>169</v>
      </c>
      <c r="E187" s="250"/>
      <c r="F187" s="251"/>
      <c r="G187" s="3"/>
    </row>
    <row r="188" spans="1:7" s="44" customFormat="1" x14ac:dyDescent="0.3">
      <c r="A188" s="45"/>
      <c r="B188" s="46"/>
      <c r="C188" s="137"/>
      <c r="D188" s="47"/>
      <c r="E188" s="250"/>
      <c r="F188" s="251"/>
      <c r="G188" s="3"/>
    </row>
    <row r="189" spans="1:7" s="44" customFormat="1" x14ac:dyDescent="0.3">
      <c r="A189" s="45"/>
      <c r="B189" s="46"/>
      <c r="C189" s="137"/>
      <c r="D189" s="47"/>
      <c r="E189" s="250"/>
      <c r="F189" s="251"/>
      <c r="G189" s="3"/>
    </row>
    <row r="190" spans="1:7" s="44" customFormat="1" x14ac:dyDescent="0.3">
      <c r="A190" s="45"/>
      <c r="B190" s="46"/>
      <c r="C190" s="137"/>
      <c r="D190" s="47"/>
      <c r="E190" s="250"/>
      <c r="F190" s="251"/>
      <c r="G190" s="3"/>
    </row>
    <row r="191" spans="1:7" s="44" customFormat="1" ht="15" thickBot="1" x14ac:dyDescent="0.35">
      <c r="A191" s="48"/>
      <c r="B191" s="48"/>
      <c r="C191" s="138" t="str">
        <f t="shared" si="24"/>
        <v/>
      </c>
      <c r="D191" s="49"/>
      <c r="E191" s="252"/>
      <c r="F191" s="253"/>
      <c r="G191" s="3"/>
    </row>
    <row r="192" spans="1:7" s="44" customFormat="1" ht="15" thickBot="1" x14ac:dyDescent="0.35">
      <c r="A192" s="95" t="s">
        <v>28</v>
      </c>
      <c r="B192" s="69">
        <f>SUM(B184:B191)</f>
        <v>30</v>
      </c>
      <c r="C192" s="95" t="str">
        <f xml:space="preserve"> setValueToTime(B192)</f>
        <v>2h30min</v>
      </c>
      <c r="D192" s="192" t="s">
        <v>173</v>
      </c>
      <c r="E192" s="254"/>
      <c r="F192" s="255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12</v>
      </c>
      <c r="C194" s="146"/>
      <c r="D194" s="67" t="s">
        <v>14</v>
      </c>
      <c r="E194" s="79">
        <v>45425</v>
      </c>
      <c r="F194" s="110" t="s">
        <v>47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6" t="s">
        <v>13</v>
      </c>
      <c r="F195" s="257"/>
      <c r="G195" s="39"/>
    </row>
    <row r="196" spans="1:7" s="44" customFormat="1" ht="27" x14ac:dyDescent="0.3">
      <c r="A196" s="45" t="s">
        <v>86</v>
      </c>
      <c r="B196" s="46">
        <v>30</v>
      </c>
      <c r="C196" s="137" t="str">
        <f t="shared" ref="C196" si="26" xml:space="preserve"> IF(B196="","",setValueToTime(B196))</f>
        <v>2h30min</v>
      </c>
      <c r="D196" s="195" t="s">
        <v>115</v>
      </c>
      <c r="E196" s="258"/>
      <c r="F196" s="259"/>
      <c r="G196" s="3"/>
    </row>
    <row r="197" spans="1:7" s="44" customFormat="1" ht="27" x14ac:dyDescent="0.3">
      <c r="A197" s="45" t="s">
        <v>86</v>
      </c>
      <c r="B197" s="46">
        <v>20</v>
      </c>
      <c r="C197" s="137" t="str">
        <f t="shared" ref="C197" si="27" xml:space="preserve"> IF(B197="","",setValueToTime(B197))</f>
        <v>1h40min</v>
      </c>
      <c r="D197" s="195" t="s">
        <v>116</v>
      </c>
      <c r="E197" s="250"/>
      <c r="F197" s="251"/>
      <c r="G197" s="3"/>
    </row>
    <row r="198" spans="1:7" s="44" customFormat="1" x14ac:dyDescent="0.3">
      <c r="A198" s="45"/>
      <c r="B198" s="46"/>
      <c r="C198" s="137" t="str">
        <f t="shared" ref="C198" si="28" xml:space="preserve"> IF(B198="","",setValueToTime(B198))</f>
        <v/>
      </c>
      <c r="D198" s="47"/>
      <c r="E198" s="250"/>
      <c r="F198" s="251"/>
      <c r="G198" s="3"/>
    </row>
    <row r="199" spans="1:7" s="44" customFormat="1" x14ac:dyDescent="0.3">
      <c r="A199" s="45"/>
      <c r="B199" s="46"/>
      <c r="C199" s="137"/>
      <c r="D199" s="47"/>
      <c r="E199" s="250"/>
      <c r="F199" s="251"/>
      <c r="G199" s="3"/>
    </row>
    <row r="200" spans="1:7" s="44" customFormat="1" x14ac:dyDescent="0.3">
      <c r="A200" s="45"/>
      <c r="B200" s="46"/>
      <c r="C200" s="137"/>
      <c r="D200" s="47"/>
      <c r="E200" s="250"/>
      <c r="F200" s="251"/>
      <c r="G200" s="3"/>
    </row>
    <row r="201" spans="1:7" s="44" customFormat="1" x14ac:dyDescent="0.3">
      <c r="A201" s="45"/>
      <c r="B201" s="46"/>
      <c r="C201" s="137"/>
      <c r="D201" s="47"/>
      <c r="E201" s="250"/>
      <c r="F201" s="251"/>
      <c r="G201" s="3"/>
    </row>
    <row r="202" spans="1:7" s="44" customFormat="1" x14ac:dyDescent="0.3">
      <c r="A202" s="46"/>
      <c r="B202" s="46"/>
      <c r="C202" s="137" t="str">
        <f t="shared" ref="C202:C203" si="29" xml:space="preserve"> IF(B202="","",setValueToTime(B202))</f>
        <v/>
      </c>
      <c r="D202" s="47"/>
      <c r="E202" s="250"/>
      <c r="F202" s="251"/>
      <c r="G202" s="3"/>
    </row>
    <row r="203" spans="1:7" s="44" customFormat="1" ht="15" thickBot="1" x14ac:dyDescent="0.35">
      <c r="A203" s="48"/>
      <c r="B203" s="48"/>
      <c r="C203" s="138" t="str">
        <f t="shared" si="29"/>
        <v/>
      </c>
      <c r="D203" s="49"/>
      <c r="E203" s="252"/>
      <c r="F203" s="253"/>
      <c r="G203" s="3"/>
    </row>
    <row r="204" spans="1:7" s="44" customFormat="1" ht="15" thickBot="1" x14ac:dyDescent="0.35">
      <c r="A204" s="95" t="s">
        <v>28</v>
      </c>
      <c r="B204" s="69">
        <f>SUM(B196:B203)</f>
        <v>50</v>
      </c>
      <c r="C204" s="95" t="str">
        <f xml:space="preserve"> setValueToTime(B204)</f>
        <v>4h10min</v>
      </c>
      <c r="D204" s="192" t="s">
        <v>172</v>
      </c>
      <c r="E204" s="254"/>
      <c r="F204" s="255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11</v>
      </c>
      <c r="C206" s="146"/>
      <c r="D206" s="67" t="s">
        <v>14</v>
      </c>
      <c r="E206" s="79">
        <v>45420</v>
      </c>
      <c r="F206" s="110" t="s">
        <v>46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6" t="s">
        <v>13</v>
      </c>
      <c r="F207" s="257"/>
      <c r="G207" s="39"/>
    </row>
    <row r="208" spans="1:7" s="44" customFormat="1" x14ac:dyDescent="0.3">
      <c r="A208" s="41" t="s">
        <v>16</v>
      </c>
      <c r="B208" s="42">
        <v>2</v>
      </c>
      <c r="C208" s="137" t="str">
        <f t="shared" ref="C208:C213" si="30" xml:space="preserve"> IF(B208="","",setValueToTime(B208))</f>
        <v>0h10min</v>
      </c>
      <c r="D208" s="43" t="s">
        <v>99</v>
      </c>
      <c r="E208" s="258"/>
      <c r="F208" s="259"/>
      <c r="G208" s="3"/>
    </row>
    <row r="209" spans="1:7" s="44" customFormat="1" x14ac:dyDescent="0.3">
      <c r="A209" s="45" t="s">
        <v>15</v>
      </c>
      <c r="B209" s="46">
        <v>4</v>
      </c>
      <c r="C209" s="137" t="str">
        <f t="shared" si="30"/>
        <v>0h20min</v>
      </c>
      <c r="D209" s="47" t="s">
        <v>97</v>
      </c>
      <c r="E209" s="250"/>
      <c r="F209" s="251"/>
      <c r="G209" s="3"/>
    </row>
    <row r="210" spans="1:7" s="44" customFormat="1" x14ac:dyDescent="0.3">
      <c r="A210" s="46" t="s">
        <v>85</v>
      </c>
      <c r="B210" s="46">
        <v>34</v>
      </c>
      <c r="C210" s="137" t="str">
        <f t="shared" si="30"/>
        <v>2h50min</v>
      </c>
      <c r="D210" s="47" t="s">
        <v>113</v>
      </c>
      <c r="E210" s="250"/>
      <c r="F210" s="251"/>
      <c r="G210" s="3"/>
    </row>
    <row r="211" spans="1:7" s="44" customFormat="1" x14ac:dyDescent="0.3">
      <c r="A211" s="46" t="s">
        <v>85</v>
      </c>
      <c r="B211" s="46"/>
      <c r="C211" s="137" t="str">
        <f t="shared" si="30"/>
        <v/>
      </c>
      <c r="D211" s="47" t="s">
        <v>114</v>
      </c>
      <c r="E211" s="250"/>
      <c r="F211" s="251"/>
      <c r="G211" s="3"/>
    </row>
    <row r="212" spans="1:7" s="44" customFormat="1" x14ac:dyDescent="0.3">
      <c r="A212" s="46"/>
      <c r="B212" s="46"/>
      <c r="C212" s="137" t="str">
        <f t="shared" si="30"/>
        <v/>
      </c>
      <c r="D212" s="47"/>
      <c r="E212" s="250"/>
      <c r="F212" s="251"/>
      <c r="G212" s="3"/>
    </row>
    <row r="213" spans="1:7" s="44" customFormat="1" x14ac:dyDescent="0.3">
      <c r="A213" s="46"/>
      <c r="B213" s="46"/>
      <c r="C213" s="137" t="str">
        <f t="shared" si="30"/>
        <v/>
      </c>
      <c r="D213" s="47"/>
      <c r="E213" s="250"/>
      <c r="F213" s="251"/>
      <c r="G213" s="3"/>
    </row>
    <row r="214" spans="1:7" s="44" customFormat="1" x14ac:dyDescent="0.3">
      <c r="A214" s="46"/>
      <c r="B214" s="46"/>
      <c r="C214" s="137" t="str">
        <f t="shared" ref="C214:C215" si="31" xml:space="preserve"> IF(B214="","",setValueToTime(B214))</f>
        <v/>
      </c>
      <c r="D214" s="47"/>
      <c r="E214" s="250"/>
      <c r="F214" s="251"/>
      <c r="G214" s="3"/>
    </row>
    <row r="215" spans="1:7" s="44" customFormat="1" ht="15" thickBot="1" x14ac:dyDescent="0.35">
      <c r="A215" s="48"/>
      <c r="B215" s="48"/>
      <c r="C215" s="138" t="str">
        <f t="shared" si="31"/>
        <v/>
      </c>
      <c r="D215" s="49"/>
      <c r="E215" s="252"/>
      <c r="F215" s="253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04" t="s">
        <v>174</v>
      </c>
      <c r="E216" s="254"/>
      <c r="F216" s="255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10</v>
      </c>
      <c r="C218" s="146"/>
      <c r="D218" s="67" t="s">
        <v>14</v>
      </c>
      <c r="E218" s="79">
        <v>45420</v>
      </c>
      <c r="F218" s="110" t="s">
        <v>47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6" t="s">
        <v>13</v>
      </c>
      <c r="F219" s="257"/>
      <c r="G219" s="39"/>
    </row>
    <row r="220" spans="1:7" s="44" customFormat="1" ht="40.5" x14ac:dyDescent="0.3">
      <c r="A220" s="45" t="s">
        <v>88</v>
      </c>
      <c r="B220" s="46">
        <v>14</v>
      </c>
      <c r="C220" s="137" t="str">
        <f t="shared" ref="C220:C221" si="32" xml:space="preserve"> IF(B220="","",setValueToTime(B220))</f>
        <v>1h10min</v>
      </c>
      <c r="D220" s="47" t="s">
        <v>109</v>
      </c>
      <c r="E220" s="258"/>
      <c r="F220" s="259"/>
      <c r="G220" s="3"/>
    </row>
    <row r="221" spans="1:7" s="44" customFormat="1" x14ac:dyDescent="0.3">
      <c r="A221" s="45" t="s">
        <v>85</v>
      </c>
      <c r="B221" s="46">
        <v>26</v>
      </c>
      <c r="C221" s="137" t="str">
        <f t="shared" si="32"/>
        <v>2h10min</v>
      </c>
      <c r="D221" s="47" t="s">
        <v>111</v>
      </c>
      <c r="E221" s="250"/>
      <c r="F221" s="251"/>
      <c r="G221" s="3"/>
    </row>
    <row r="222" spans="1:7" s="44" customFormat="1" x14ac:dyDescent="0.3">
      <c r="A222" s="45"/>
      <c r="B222" s="46"/>
      <c r="C222" s="137" t="str">
        <f t="shared" ref="C222" si="33" xml:space="preserve"> IF(B222="","",setValueToTime(B222))</f>
        <v/>
      </c>
      <c r="D222" s="47"/>
      <c r="E222" s="250"/>
      <c r="F222" s="251"/>
      <c r="G222" s="3"/>
    </row>
    <row r="223" spans="1:7" s="44" customFormat="1" x14ac:dyDescent="0.3">
      <c r="A223" s="45"/>
      <c r="B223" s="46"/>
      <c r="C223" s="137" t="str">
        <f t="shared" ref="C223:C227" si="34" xml:space="preserve"> IF(B223="","",setValueToTime(B223))</f>
        <v/>
      </c>
      <c r="D223" s="47"/>
      <c r="E223" s="250"/>
      <c r="F223" s="251"/>
      <c r="G223" s="3"/>
    </row>
    <row r="224" spans="1:7" s="44" customFormat="1" x14ac:dyDescent="0.3">
      <c r="A224" s="45"/>
      <c r="B224" s="46"/>
      <c r="C224" s="137" t="str">
        <f t="shared" si="34"/>
        <v/>
      </c>
      <c r="D224" s="47"/>
      <c r="E224" s="250"/>
      <c r="F224" s="251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0"/>
      <c r="F225" s="251"/>
      <c r="G225" s="3"/>
    </row>
    <row r="226" spans="1:7" s="44" customFormat="1" x14ac:dyDescent="0.3">
      <c r="A226" s="46"/>
      <c r="B226" s="46"/>
      <c r="C226" s="137" t="str">
        <f t="shared" si="34"/>
        <v/>
      </c>
      <c r="D226" s="47"/>
      <c r="E226" s="250"/>
      <c r="F226" s="251"/>
      <c r="G226" s="3"/>
    </row>
    <row r="227" spans="1:7" s="44" customFormat="1" ht="15" thickBot="1" x14ac:dyDescent="0.35">
      <c r="A227" s="48"/>
      <c r="B227" s="48"/>
      <c r="C227" s="137" t="str">
        <f t="shared" si="34"/>
        <v/>
      </c>
      <c r="D227" s="49"/>
      <c r="E227" s="252"/>
      <c r="F227" s="253"/>
      <c r="G227" s="3"/>
    </row>
    <row r="228" spans="1:7" s="44" customFormat="1" ht="15" thickBot="1" x14ac:dyDescent="0.35">
      <c r="A228" s="95" t="s">
        <v>28</v>
      </c>
      <c r="B228" s="69">
        <f>SUM(B220:B227)</f>
        <v>40</v>
      </c>
      <c r="C228" s="95" t="str">
        <f xml:space="preserve"> setValueToTime(B228)</f>
        <v>3h20min</v>
      </c>
      <c r="D228" s="192" t="s">
        <v>174</v>
      </c>
      <c r="E228" s="254"/>
      <c r="F228" s="255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9</v>
      </c>
      <c r="C230" s="146"/>
      <c r="D230" s="67" t="s">
        <v>14</v>
      </c>
      <c r="E230" s="79">
        <v>45418</v>
      </c>
      <c r="F230" s="110" t="s">
        <v>46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6" t="s">
        <v>13</v>
      </c>
      <c r="F231" s="257"/>
      <c r="G231" s="39"/>
    </row>
    <row r="232" spans="1:7" s="44" customFormat="1" x14ac:dyDescent="0.3">
      <c r="A232" s="41" t="s">
        <v>16</v>
      </c>
      <c r="B232" s="42">
        <v>2</v>
      </c>
      <c r="C232" s="137" t="str">
        <f t="shared" ref="C232:C237" si="35" xml:space="preserve"> IF(B232="","",setValueToTime(B232))</f>
        <v>0h10min</v>
      </c>
      <c r="D232" s="43" t="s">
        <v>99</v>
      </c>
      <c r="E232" s="258"/>
      <c r="F232" s="259"/>
      <c r="G232" s="3"/>
    </row>
    <row r="233" spans="1:7" s="44" customFormat="1" x14ac:dyDescent="0.3">
      <c r="A233" s="45" t="s">
        <v>15</v>
      </c>
      <c r="B233" s="46">
        <v>4</v>
      </c>
      <c r="C233" s="137" t="str">
        <f t="shared" si="35"/>
        <v>0h20min</v>
      </c>
      <c r="D233" s="47" t="s">
        <v>97</v>
      </c>
      <c r="E233" s="250"/>
      <c r="F233" s="251"/>
      <c r="G233" s="3"/>
    </row>
    <row r="234" spans="1:7" s="44" customFormat="1" x14ac:dyDescent="0.3">
      <c r="A234" s="45" t="s">
        <v>85</v>
      </c>
      <c r="B234" s="46">
        <v>20</v>
      </c>
      <c r="C234" s="137" t="str">
        <f t="shared" si="35"/>
        <v>1h40min</v>
      </c>
      <c r="D234" s="47" t="s">
        <v>110</v>
      </c>
      <c r="E234" s="250"/>
      <c r="F234" s="251"/>
      <c r="G234" s="3"/>
    </row>
    <row r="235" spans="1:7" s="44" customFormat="1" x14ac:dyDescent="0.3">
      <c r="A235" s="46" t="s">
        <v>89</v>
      </c>
      <c r="B235" s="46">
        <v>4</v>
      </c>
      <c r="C235" s="137" t="str">
        <f t="shared" si="35"/>
        <v>0h20min</v>
      </c>
      <c r="D235" s="47" t="s">
        <v>163</v>
      </c>
      <c r="E235" s="250"/>
      <c r="F235" s="251"/>
      <c r="G235" s="3"/>
    </row>
    <row r="236" spans="1:7" s="44" customFormat="1" x14ac:dyDescent="0.3">
      <c r="A236" s="46"/>
      <c r="B236" s="46"/>
      <c r="C236" s="137" t="str">
        <f t="shared" si="35"/>
        <v/>
      </c>
      <c r="D236" s="47"/>
      <c r="E236" s="250"/>
      <c r="F236" s="251"/>
      <c r="G236" s="3"/>
    </row>
    <row r="237" spans="1:7" s="44" customFormat="1" x14ac:dyDescent="0.3">
      <c r="A237" s="46"/>
      <c r="B237" s="46"/>
      <c r="C237" s="137" t="str">
        <f t="shared" si="35"/>
        <v/>
      </c>
      <c r="D237" s="47"/>
      <c r="E237" s="250"/>
      <c r="F237" s="251"/>
      <c r="G237" s="3"/>
    </row>
    <row r="238" spans="1:7" s="44" customFormat="1" x14ac:dyDescent="0.3">
      <c r="A238" s="46"/>
      <c r="B238" s="46"/>
      <c r="C238" s="137" t="str">
        <f t="shared" ref="C238:C239" si="36" xml:space="preserve"> IF(B238="","",setValueToTime(B238))</f>
        <v/>
      </c>
      <c r="D238" s="47"/>
      <c r="E238" s="250"/>
      <c r="F238" s="251"/>
      <c r="G238" s="3"/>
    </row>
    <row r="239" spans="1:7" s="44" customFormat="1" ht="15" thickBot="1" x14ac:dyDescent="0.35">
      <c r="A239" s="48"/>
      <c r="B239" s="48"/>
      <c r="C239" s="138" t="str">
        <f t="shared" si="36"/>
        <v/>
      </c>
      <c r="D239" s="49"/>
      <c r="E239" s="252"/>
      <c r="F239" s="253"/>
      <c r="G239" s="3"/>
    </row>
    <row r="240" spans="1:7" s="44" customFormat="1" ht="15" thickBot="1" x14ac:dyDescent="0.35">
      <c r="A240" s="95" t="s">
        <v>28</v>
      </c>
      <c r="B240" s="69">
        <f>SUM(B232:B239)</f>
        <v>30</v>
      </c>
      <c r="C240" s="95" t="str">
        <f xml:space="preserve"> setValueToTime(B240)</f>
        <v>2h30min</v>
      </c>
      <c r="D240" s="192" t="s">
        <v>173</v>
      </c>
      <c r="E240" s="254"/>
      <c r="F240" s="255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8</v>
      </c>
      <c r="C242" s="146"/>
      <c r="D242" s="67" t="s">
        <v>14</v>
      </c>
      <c r="E242" s="79">
        <v>45418</v>
      </c>
      <c r="F242" s="110" t="s">
        <v>47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6" t="s">
        <v>13</v>
      </c>
      <c r="F243" s="257"/>
      <c r="G243" s="39"/>
    </row>
    <row r="244" spans="1:7" s="44" customFormat="1" ht="27" x14ac:dyDescent="0.3">
      <c r="A244" s="41" t="s">
        <v>85</v>
      </c>
      <c r="B244" s="42">
        <v>50</v>
      </c>
      <c r="C244" s="137" t="str">
        <f t="shared" ref="C244:C251" si="37" xml:space="preserve"> IF(B244="","",setValueToTime(B244))</f>
        <v>4h10min</v>
      </c>
      <c r="D244" s="47" t="s">
        <v>108</v>
      </c>
      <c r="E244" s="258"/>
      <c r="F244" s="259"/>
      <c r="G244" s="3"/>
    </row>
    <row r="245" spans="1:7" s="44" customFormat="1" x14ac:dyDescent="0.3">
      <c r="A245" s="45"/>
      <c r="B245" s="46"/>
      <c r="C245" s="137" t="str">
        <f t="shared" si="37"/>
        <v/>
      </c>
      <c r="D245" s="47"/>
      <c r="E245" s="250"/>
      <c r="F245" s="251"/>
      <c r="G245" s="3"/>
    </row>
    <row r="246" spans="1:7" s="44" customFormat="1" x14ac:dyDescent="0.3">
      <c r="A246" s="46"/>
      <c r="B246" s="46"/>
      <c r="C246" s="137" t="str">
        <f t="shared" si="37"/>
        <v/>
      </c>
      <c r="D246" s="47"/>
      <c r="E246" s="250"/>
      <c r="F246" s="251"/>
      <c r="G246" s="3"/>
    </row>
    <row r="247" spans="1:7" s="44" customFormat="1" x14ac:dyDescent="0.3">
      <c r="A247" s="45"/>
      <c r="B247" s="46"/>
      <c r="C247" s="137" t="str">
        <f t="shared" si="37"/>
        <v/>
      </c>
      <c r="D247" s="47"/>
      <c r="E247" s="250"/>
      <c r="F247" s="251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0"/>
      <c r="F248" s="251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0"/>
      <c r="F249" s="251"/>
      <c r="G249" s="3"/>
    </row>
    <row r="250" spans="1:7" s="44" customFormat="1" x14ac:dyDescent="0.3">
      <c r="A250" s="46"/>
      <c r="B250" s="46"/>
      <c r="C250" s="137" t="str">
        <f t="shared" si="37"/>
        <v/>
      </c>
      <c r="D250" s="47"/>
      <c r="E250" s="250"/>
      <c r="F250" s="251"/>
      <c r="G250" s="3"/>
    </row>
    <row r="251" spans="1:7" s="44" customFormat="1" ht="15" thickBot="1" x14ac:dyDescent="0.35">
      <c r="A251" s="48"/>
      <c r="B251" s="48"/>
      <c r="C251" s="137" t="str">
        <f t="shared" si="37"/>
        <v/>
      </c>
      <c r="D251" s="49"/>
      <c r="E251" s="252"/>
      <c r="F251" s="253"/>
      <c r="G251" s="3"/>
    </row>
    <row r="252" spans="1:7" s="44" customFormat="1" ht="15" thickBot="1" x14ac:dyDescent="0.35">
      <c r="A252" s="95" t="s">
        <v>28</v>
      </c>
      <c r="B252" s="69">
        <f>SUM(B244:B251)</f>
        <v>50</v>
      </c>
      <c r="C252" s="95" t="str">
        <f xml:space="preserve"> setValueToTime(B252)</f>
        <v>4h10min</v>
      </c>
      <c r="D252" s="104" t="s">
        <v>172</v>
      </c>
      <c r="E252" s="254"/>
      <c r="F252" s="255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7</v>
      </c>
      <c r="C254" s="146"/>
      <c r="D254" s="67" t="s">
        <v>14</v>
      </c>
      <c r="E254" s="79">
        <v>45415</v>
      </c>
      <c r="F254" s="110" t="s">
        <v>46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6" t="s">
        <v>13</v>
      </c>
      <c r="F255" s="257"/>
      <c r="G255" s="39"/>
    </row>
    <row r="256" spans="1:7" s="44" customFormat="1" x14ac:dyDescent="0.3">
      <c r="A256" s="41" t="s">
        <v>16</v>
      </c>
      <c r="B256" s="42">
        <v>2</v>
      </c>
      <c r="C256" s="137" t="str">
        <f t="shared" ref="C256:C261" si="38" xml:space="preserve"> IF(B256="","",setValueToTime(B256))</f>
        <v>0h10min</v>
      </c>
      <c r="D256" s="43" t="s">
        <v>99</v>
      </c>
      <c r="E256" s="258"/>
      <c r="F256" s="259"/>
      <c r="G256" s="3"/>
    </row>
    <row r="257" spans="1:7" s="44" customFormat="1" x14ac:dyDescent="0.3">
      <c r="A257" s="45" t="s">
        <v>15</v>
      </c>
      <c r="B257" s="46">
        <v>10</v>
      </c>
      <c r="C257" s="137" t="str">
        <f t="shared" si="38"/>
        <v>0h50min</v>
      </c>
      <c r="D257" s="47" t="s">
        <v>107</v>
      </c>
      <c r="E257" s="250"/>
      <c r="F257" s="251"/>
      <c r="G257" s="3"/>
    </row>
    <row r="258" spans="1:7" s="44" customFormat="1" x14ac:dyDescent="0.3">
      <c r="A258" s="45" t="s">
        <v>85</v>
      </c>
      <c r="B258" s="46">
        <v>24</v>
      </c>
      <c r="C258" s="137" t="str">
        <f t="shared" si="38"/>
        <v>2h</v>
      </c>
      <c r="D258" s="47" t="s">
        <v>106</v>
      </c>
      <c r="E258" s="250"/>
      <c r="F258" s="251"/>
      <c r="G258" s="3"/>
    </row>
    <row r="259" spans="1:7" s="44" customFormat="1" x14ac:dyDescent="0.3">
      <c r="A259" s="46" t="s">
        <v>89</v>
      </c>
      <c r="B259" s="46">
        <v>4</v>
      </c>
      <c r="C259" s="137" t="str">
        <f t="shared" si="38"/>
        <v>0h20min</v>
      </c>
      <c r="D259" s="47" t="s">
        <v>163</v>
      </c>
      <c r="E259" s="250"/>
      <c r="F259" s="251"/>
      <c r="G259" s="3"/>
    </row>
    <row r="260" spans="1:7" s="44" customFormat="1" x14ac:dyDescent="0.3">
      <c r="A260" s="46"/>
      <c r="B260" s="46"/>
      <c r="C260" s="137" t="str">
        <f t="shared" si="38"/>
        <v/>
      </c>
      <c r="D260" s="47"/>
      <c r="E260" s="250"/>
      <c r="F260" s="251"/>
      <c r="G260" s="3"/>
    </row>
    <row r="261" spans="1:7" s="44" customFormat="1" x14ac:dyDescent="0.3">
      <c r="A261" s="46"/>
      <c r="B261" s="46"/>
      <c r="C261" s="137" t="str">
        <f t="shared" si="38"/>
        <v/>
      </c>
      <c r="D261" s="47"/>
      <c r="E261" s="250"/>
      <c r="F261" s="251"/>
      <c r="G261" s="3"/>
    </row>
    <row r="262" spans="1:7" s="44" customFormat="1" x14ac:dyDescent="0.3">
      <c r="A262" s="46"/>
      <c r="B262" s="46"/>
      <c r="C262" s="137" t="str">
        <f t="shared" ref="C262:C263" si="39" xml:space="preserve"> IF(B262="","",setValueToTime(B262))</f>
        <v/>
      </c>
      <c r="D262" s="47"/>
      <c r="E262" s="250"/>
      <c r="F262" s="251"/>
      <c r="G262" s="3"/>
    </row>
    <row r="263" spans="1:7" s="44" customFormat="1" ht="15" thickBot="1" x14ac:dyDescent="0.35">
      <c r="A263" s="48"/>
      <c r="B263" s="48"/>
      <c r="C263" s="138" t="str">
        <f t="shared" si="39"/>
        <v/>
      </c>
      <c r="D263" s="49"/>
      <c r="E263" s="252"/>
      <c r="F263" s="253"/>
      <c r="G263" s="3"/>
    </row>
    <row r="264" spans="1:7" s="44" customFormat="1" ht="15" thickBot="1" x14ac:dyDescent="0.35">
      <c r="A264" s="95" t="s">
        <v>28</v>
      </c>
      <c r="B264" s="69">
        <f>SUM(B256:B263)</f>
        <v>40</v>
      </c>
      <c r="C264" s="95" t="str">
        <f xml:space="preserve"> setValueToTime(B264)</f>
        <v>3h20min</v>
      </c>
      <c r="D264" s="104" t="s">
        <v>174</v>
      </c>
      <c r="E264" s="254"/>
      <c r="F264" s="255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6</v>
      </c>
      <c r="C266" s="146"/>
      <c r="D266" s="67" t="s">
        <v>14</v>
      </c>
      <c r="E266" s="79">
        <v>45415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6" t="s">
        <v>13</v>
      </c>
      <c r="F267" s="257"/>
      <c r="G267" s="39"/>
    </row>
    <row r="268" spans="1:7" s="44" customFormat="1" ht="27" x14ac:dyDescent="0.3">
      <c r="A268" s="41" t="s">
        <v>84</v>
      </c>
      <c r="B268" s="42">
        <v>12</v>
      </c>
      <c r="C268" s="137" t="str">
        <f t="shared" ref="C268:C275" si="40" xml:space="preserve"> IF(B268="","",setValueToTime(B268))</f>
        <v>1h</v>
      </c>
      <c r="D268" s="43" t="s">
        <v>104</v>
      </c>
      <c r="E268" s="258"/>
      <c r="F268" s="259"/>
      <c r="G268" s="3"/>
    </row>
    <row r="269" spans="1:7" s="44" customFormat="1" x14ac:dyDescent="0.3">
      <c r="A269" s="45" t="s">
        <v>85</v>
      </c>
      <c r="B269" s="46">
        <v>38</v>
      </c>
      <c r="C269" s="137" t="str">
        <f t="shared" si="40"/>
        <v>3h10min</v>
      </c>
      <c r="D269" s="47" t="s">
        <v>105</v>
      </c>
      <c r="E269" s="250"/>
      <c r="F269" s="251"/>
      <c r="G269" s="3"/>
    </row>
    <row r="270" spans="1:7" s="44" customFormat="1" x14ac:dyDescent="0.3">
      <c r="A270" s="45"/>
      <c r="B270" s="46"/>
      <c r="C270" s="137" t="str">
        <f t="shared" si="40"/>
        <v/>
      </c>
      <c r="D270" s="47"/>
      <c r="E270" s="250"/>
      <c r="F270" s="251"/>
      <c r="G270" s="3"/>
    </row>
    <row r="271" spans="1:7" s="44" customFormat="1" x14ac:dyDescent="0.3">
      <c r="A271" s="45"/>
      <c r="B271" s="46"/>
      <c r="C271" s="137" t="str">
        <f t="shared" si="40"/>
        <v/>
      </c>
      <c r="D271" s="47"/>
      <c r="E271" s="250"/>
      <c r="F271" s="251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0"/>
      <c r="F272" s="251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0"/>
      <c r="F273" s="251"/>
      <c r="G273" s="3"/>
    </row>
    <row r="274" spans="1:7" s="44" customFormat="1" x14ac:dyDescent="0.3">
      <c r="A274" s="46"/>
      <c r="B274" s="46"/>
      <c r="C274" s="137" t="str">
        <f t="shared" si="40"/>
        <v/>
      </c>
      <c r="D274" s="47"/>
      <c r="E274" s="250"/>
      <c r="F274" s="251"/>
      <c r="G274" s="3"/>
    </row>
    <row r="275" spans="1:7" s="44" customFormat="1" ht="15" thickBot="1" x14ac:dyDescent="0.35">
      <c r="A275" s="48"/>
      <c r="B275" s="48"/>
      <c r="C275" s="137" t="str">
        <f t="shared" si="40"/>
        <v/>
      </c>
      <c r="D275" s="49"/>
      <c r="E275" s="252"/>
      <c r="F275" s="253"/>
      <c r="G275" s="3"/>
    </row>
    <row r="276" spans="1:7" s="44" customFormat="1" ht="15" thickBot="1" x14ac:dyDescent="0.35">
      <c r="A276" s="95" t="s">
        <v>28</v>
      </c>
      <c r="B276" s="69">
        <f>SUM(B268:B275)</f>
        <v>50</v>
      </c>
      <c r="C276" s="95" t="str">
        <f xml:space="preserve"> setValueToTime(B276)</f>
        <v>4h10min</v>
      </c>
      <c r="D276" s="104" t="s">
        <v>172</v>
      </c>
      <c r="E276" s="254"/>
      <c r="F276" s="255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5</v>
      </c>
      <c r="C278" s="146"/>
      <c r="D278" s="67" t="s">
        <v>14</v>
      </c>
      <c r="E278" s="79">
        <v>45414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6" t="s">
        <v>13</v>
      </c>
      <c r="F279" s="257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1" xml:space="preserve"> IF(B280="","",setValueToTime(B280))</f>
        <v>0h10min</v>
      </c>
      <c r="D280" s="43" t="s">
        <v>99</v>
      </c>
      <c r="E280" s="258"/>
      <c r="F280" s="259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1"/>
        <v>0h20min</v>
      </c>
      <c r="D281" s="47" t="s">
        <v>97</v>
      </c>
      <c r="E281" s="250"/>
      <c r="F281" s="251"/>
      <c r="G281" s="3"/>
    </row>
    <row r="282" spans="1:7" s="44" customFormat="1" ht="40.5" x14ac:dyDescent="0.3">
      <c r="A282" s="45" t="s">
        <v>88</v>
      </c>
      <c r="B282" s="46">
        <v>20</v>
      </c>
      <c r="C282" s="137" t="str">
        <f t="shared" si="41"/>
        <v>1h40min</v>
      </c>
      <c r="D282" s="47" t="s">
        <v>103</v>
      </c>
      <c r="E282" s="250"/>
      <c r="F282" s="251"/>
      <c r="G282" s="3"/>
    </row>
    <row r="283" spans="1:7" s="44" customFormat="1" x14ac:dyDescent="0.3">
      <c r="A283" s="45" t="s">
        <v>83</v>
      </c>
      <c r="B283" s="46">
        <v>14</v>
      </c>
      <c r="C283" s="137" t="str">
        <f t="shared" si="41"/>
        <v>1h10min</v>
      </c>
      <c r="D283" s="47" t="s">
        <v>102</v>
      </c>
      <c r="E283" s="250"/>
      <c r="F283" s="251"/>
      <c r="G283" s="3"/>
    </row>
    <row r="284" spans="1:7" s="44" customFormat="1" x14ac:dyDescent="0.3">
      <c r="A284" s="46"/>
      <c r="B284" s="46"/>
      <c r="C284" s="137" t="str">
        <f t="shared" si="41"/>
        <v/>
      </c>
      <c r="D284" s="47"/>
      <c r="E284" s="250"/>
      <c r="F284" s="251"/>
      <c r="G284" s="3"/>
    </row>
    <row r="285" spans="1:7" s="44" customFormat="1" x14ac:dyDescent="0.3">
      <c r="A285" s="46"/>
      <c r="B285" s="46"/>
      <c r="C285" s="137" t="str">
        <f t="shared" si="41"/>
        <v/>
      </c>
      <c r="D285" s="47"/>
      <c r="E285" s="250"/>
      <c r="F285" s="251"/>
      <c r="G285" s="3"/>
    </row>
    <row r="286" spans="1:7" s="44" customFormat="1" x14ac:dyDescent="0.3">
      <c r="A286" s="46"/>
      <c r="B286" s="46"/>
      <c r="C286" s="137" t="str">
        <f t="shared" ref="C286:C287" si="42" xml:space="preserve"> IF(B286="","",setValueToTime(B286))</f>
        <v/>
      </c>
      <c r="D286" s="47"/>
      <c r="E286" s="250"/>
      <c r="F286" s="251"/>
      <c r="G286" s="3"/>
    </row>
    <row r="287" spans="1:7" s="44" customFormat="1" ht="15" thickBot="1" x14ac:dyDescent="0.35">
      <c r="A287" s="48"/>
      <c r="B287" s="48"/>
      <c r="C287" s="138" t="str">
        <f t="shared" si="42"/>
        <v/>
      </c>
      <c r="D287" s="49"/>
      <c r="E287" s="252"/>
      <c r="F287" s="253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174</v>
      </c>
      <c r="E288" s="254"/>
      <c r="F288" s="255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4</v>
      </c>
      <c r="C290" s="146"/>
      <c r="D290" s="67" t="s">
        <v>14</v>
      </c>
      <c r="E290" s="79">
        <v>45413</v>
      </c>
      <c r="F290" s="110" t="s">
        <v>46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6" t="s">
        <v>13</v>
      </c>
      <c r="F291" s="257"/>
      <c r="G291" s="39"/>
    </row>
    <row r="292" spans="1:7" s="44" customFormat="1" x14ac:dyDescent="0.3">
      <c r="A292" s="41" t="s">
        <v>16</v>
      </c>
      <c r="B292" s="42">
        <v>2</v>
      </c>
      <c r="C292" s="137" t="str">
        <f t="shared" ref="C292:C297" si="43" xml:space="preserve"> IF(B292="","",setValueToTime(B292))</f>
        <v>0h10min</v>
      </c>
      <c r="D292" s="43" t="s">
        <v>99</v>
      </c>
      <c r="E292" s="258"/>
      <c r="F292" s="259"/>
      <c r="G292" s="3"/>
    </row>
    <row r="293" spans="1:7" s="44" customFormat="1" x14ac:dyDescent="0.3">
      <c r="A293" s="45" t="s">
        <v>15</v>
      </c>
      <c r="B293" s="46">
        <v>4</v>
      </c>
      <c r="C293" s="137" t="str">
        <f t="shared" si="43"/>
        <v>0h20min</v>
      </c>
      <c r="D293" s="47" t="s">
        <v>97</v>
      </c>
      <c r="E293" s="250"/>
      <c r="F293" s="251"/>
      <c r="G293" s="3"/>
    </row>
    <row r="294" spans="1:7" s="44" customFormat="1" ht="27" x14ac:dyDescent="0.3">
      <c r="A294" s="45" t="s">
        <v>83</v>
      </c>
      <c r="B294" s="46">
        <v>34</v>
      </c>
      <c r="C294" s="137" t="str">
        <f t="shared" si="43"/>
        <v>2h50min</v>
      </c>
      <c r="D294" s="47" t="s">
        <v>101</v>
      </c>
      <c r="E294" s="250"/>
      <c r="F294" s="251"/>
      <c r="G294" s="3"/>
    </row>
    <row r="295" spans="1:7" s="44" customFormat="1" x14ac:dyDescent="0.3">
      <c r="A295" s="45"/>
      <c r="B295" s="46"/>
      <c r="C295" s="137" t="str">
        <f t="shared" si="43"/>
        <v/>
      </c>
      <c r="D295" s="47"/>
      <c r="E295" s="250"/>
      <c r="F295" s="251"/>
      <c r="G295" s="3"/>
    </row>
    <row r="296" spans="1:7" s="44" customFormat="1" x14ac:dyDescent="0.3">
      <c r="A296" s="46"/>
      <c r="B296" s="46"/>
      <c r="C296" s="137" t="str">
        <f t="shared" si="43"/>
        <v/>
      </c>
      <c r="D296" s="47"/>
      <c r="E296" s="250"/>
      <c r="F296" s="251"/>
      <c r="G296" s="3"/>
    </row>
    <row r="297" spans="1:7" s="44" customFormat="1" x14ac:dyDescent="0.3">
      <c r="A297" s="46"/>
      <c r="B297" s="46"/>
      <c r="C297" s="137" t="str">
        <f t="shared" si="43"/>
        <v/>
      </c>
      <c r="D297" s="47"/>
      <c r="E297" s="250"/>
      <c r="F297" s="251"/>
      <c r="G297" s="3"/>
    </row>
    <row r="298" spans="1:7" s="44" customFormat="1" x14ac:dyDescent="0.3">
      <c r="A298" s="46"/>
      <c r="B298" s="46"/>
      <c r="C298" s="137" t="str">
        <f t="shared" ref="C298:C299" si="44" xml:space="preserve"> IF(B298="","",setValueToTime(B298))</f>
        <v/>
      </c>
      <c r="D298" s="47"/>
      <c r="E298" s="250"/>
      <c r="F298" s="251"/>
      <c r="G298" s="3"/>
    </row>
    <row r="299" spans="1:7" s="44" customFormat="1" ht="15" thickBot="1" x14ac:dyDescent="0.35">
      <c r="A299" s="48"/>
      <c r="B299" s="48"/>
      <c r="C299" s="138" t="str">
        <f t="shared" si="44"/>
        <v/>
      </c>
      <c r="D299" s="49"/>
      <c r="E299" s="252"/>
      <c r="F299" s="253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174</v>
      </c>
      <c r="E300" s="254"/>
      <c r="F300" s="255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3</v>
      </c>
      <c r="C302" s="146"/>
      <c r="D302" s="67" t="s">
        <v>14</v>
      </c>
      <c r="E302" s="79">
        <v>45413</v>
      </c>
      <c r="F302" s="110" t="s">
        <v>47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6" t="s">
        <v>13</v>
      </c>
      <c r="F303" s="257"/>
      <c r="G303" s="39"/>
    </row>
    <row r="304" spans="1:7" s="44" customFormat="1" x14ac:dyDescent="0.3">
      <c r="A304" s="41" t="s">
        <v>82</v>
      </c>
      <c r="B304" s="42">
        <v>40</v>
      </c>
      <c r="C304" s="137" t="str">
        <f t="shared" ref="C304:C310" si="45" xml:space="preserve"> IF(B304="","",setValueToTime(B304))</f>
        <v>3h20min</v>
      </c>
      <c r="D304" s="43" t="s">
        <v>100</v>
      </c>
      <c r="E304" s="258"/>
      <c r="F304" s="259"/>
      <c r="G304" s="3"/>
    </row>
    <row r="305" spans="1:7" s="44" customFormat="1" x14ac:dyDescent="0.3">
      <c r="A305" s="45"/>
      <c r="B305" s="46"/>
      <c r="C305" s="137" t="str">
        <f t="shared" si="45"/>
        <v/>
      </c>
      <c r="D305" s="47"/>
      <c r="E305" s="250"/>
      <c r="F305" s="251"/>
      <c r="G305" s="3"/>
    </row>
    <row r="306" spans="1:7" s="44" customFormat="1" x14ac:dyDescent="0.3">
      <c r="A306" s="45"/>
      <c r="B306" s="46"/>
      <c r="C306" s="137" t="str">
        <f t="shared" si="45"/>
        <v/>
      </c>
      <c r="D306" s="47"/>
      <c r="E306" s="250"/>
      <c r="F306" s="251"/>
      <c r="G306" s="3"/>
    </row>
    <row r="307" spans="1:7" s="44" customFormat="1" x14ac:dyDescent="0.3">
      <c r="A307" s="45"/>
      <c r="B307" s="46"/>
      <c r="C307" s="137" t="str">
        <f t="shared" si="45"/>
        <v/>
      </c>
      <c r="D307" s="47"/>
      <c r="E307" s="250"/>
      <c r="F307" s="251"/>
      <c r="G307" s="3"/>
    </row>
    <row r="308" spans="1:7" s="44" customFormat="1" x14ac:dyDescent="0.3">
      <c r="A308" s="46"/>
      <c r="B308" s="46"/>
      <c r="C308" s="137" t="str">
        <f t="shared" si="45"/>
        <v/>
      </c>
      <c r="D308" s="47"/>
      <c r="E308" s="250"/>
      <c r="F308" s="251"/>
      <c r="G308" s="3"/>
    </row>
    <row r="309" spans="1:7" s="44" customFormat="1" x14ac:dyDescent="0.3">
      <c r="A309" s="46"/>
      <c r="B309" s="46"/>
      <c r="C309" s="137" t="str">
        <f t="shared" si="45"/>
        <v/>
      </c>
      <c r="D309" s="47"/>
      <c r="E309" s="250"/>
      <c r="F309" s="251"/>
      <c r="G309" s="3"/>
    </row>
    <row r="310" spans="1:7" s="44" customFormat="1" x14ac:dyDescent="0.3">
      <c r="A310" s="46"/>
      <c r="B310" s="46"/>
      <c r="C310" s="137" t="str">
        <f t="shared" si="45"/>
        <v/>
      </c>
      <c r="D310" s="47"/>
      <c r="E310" s="250"/>
      <c r="F310" s="251"/>
      <c r="G310" s="3"/>
    </row>
    <row r="311" spans="1:7" s="44" customFormat="1" ht="15" thickBot="1" x14ac:dyDescent="0.35">
      <c r="A311" s="48"/>
      <c r="B311" s="48"/>
      <c r="C311" s="138" t="str">
        <f t="shared" ref="C311" si="46" xml:space="preserve"> IF(B311="","",setValueToTime(B311))</f>
        <v/>
      </c>
      <c r="D311" s="49"/>
      <c r="E311" s="252"/>
      <c r="F311" s="253"/>
      <c r="G311" s="3"/>
    </row>
    <row r="312" spans="1:7" s="44" customFormat="1" ht="15" thickBot="1" x14ac:dyDescent="0.35">
      <c r="A312" s="95" t="s">
        <v>28</v>
      </c>
      <c r="B312" s="69">
        <f>SUM(B304:B311)</f>
        <v>40</v>
      </c>
      <c r="C312" s="95" t="str">
        <f xml:space="preserve"> setValueToTime(B312)</f>
        <v>3h20min</v>
      </c>
      <c r="D312" s="104" t="s">
        <v>174</v>
      </c>
      <c r="E312" s="254"/>
      <c r="F312" s="255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2</v>
      </c>
      <c r="C314" s="146"/>
      <c r="D314" s="67" t="s">
        <v>14</v>
      </c>
      <c r="E314" s="79">
        <v>45411</v>
      </c>
      <c r="F314" s="110" t="s">
        <v>46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6" t="s">
        <v>13</v>
      </c>
      <c r="F315" s="257"/>
      <c r="G315" s="39"/>
    </row>
    <row r="316" spans="1:7" s="44" customFormat="1" x14ac:dyDescent="0.3">
      <c r="A316" s="41" t="s">
        <v>16</v>
      </c>
      <c r="B316" s="42">
        <v>1</v>
      </c>
      <c r="C316" s="137" t="str">
        <f t="shared" ref="C316:C321" si="47" xml:space="preserve"> IF(B316="","",setValueToTime(B316))</f>
        <v>0h5min</v>
      </c>
      <c r="D316" s="43" t="s">
        <v>96</v>
      </c>
      <c r="E316" s="258"/>
      <c r="F316" s="259"/>
      <c r="G316" s="3"/>
    </row>
    <row r="317" spans="1:7" s="44" customFormat="1" x14ac:dyDescent="0.3">
      <c r="A317" s="45" t="s">
        <v>15</v>
      </c>
      <c r="B317" s="46">
        <v>4</v>
      </c>
      <c r="C317" s="137" t="str">
        <f t="shared" si="47"/>
        <v>0h20min</v>
      </c>
      <c r="D317" s="47" t="s">
        <v>97</v>
      </c>
      <c r="E317" s="250"/>
      <c r="F317" s="251"/>
      <c r="G317" s="3"/>
    </row>
    <row r="318" spans="1:7" s="44" customFormat="1" ht="27" x14ac:dyDescent="0.3">
      <c r="A318" s="45" t="s">
        <v>94</v>
      </c>
      <c r="B318" s="46">
        <v>13</v>
      </c>
      <c r="C318" s="137" t="str">
        <f t="shared" si="47"/>
        <v>1h5min</v>
      </c>
      <c r="D318" s="47" t="s">
        <v>80</v>
      </c>
      <c r="E318" s="250"/>
      <c r="F318" s="251"/>
      <c r="G318" s="3"/>
    </row>
    <row r="319" spans="1:7" s="44" customFormat="1" x14ac:dyDescent="0.3">
      <c r="A319" s="46" t="s">
        <v>91</v>
      </c>
      <c r="B319" s="46">
        <v>12</v>
      </c>
      <c r="C319" s="137" t="str">
        <f t="shared" si="47"/>
        <v>1h</v>
      </c>
      <c r="D319" s="47" t="s">
        <v>98</v>
      </c>
      <c r="E319" s="250"/>
      <c r="F319" s="251"/>
      <c r="G319" s="3"/>
    </row>
    <row r="320" spans="1:7" s="44" customFormat="1" x14ac:dyDescent="0.3">
      <c r="A320" s="46"/>
      <c r="B320" s="46"/>
      <c r="C320" s="137" t="str">
        <f t="shared" si="47"/>
        <v/>
      </c>
      <c r="D320" s="47"/>
      <c r="E320" s="250"/>
      <c r="F320" s="251"/>
      <c r="G320" s="3"/>
    </row>
    <row r="321" spans="1:7" s="44" customFormat="1" x14ac:dyDescent="0.3">
      <c r="A321" s="46"/>
      <c r="B321" s="46"/>
      <c r="C321" s="137" t="str">
        <f t="shared" si="47"/>
        <v/>
      </c>
      <c r="D321" s="47"/>
      <c r="E321" s="250"/>
      <c r="F321" s="251"/>
      <c r="G321" s="3"/>
    </row>
    <row r="322" spans="1:7" s="44" customFormat="1" x14ac:dyDescent="0.3">
      <c r="A322" s="46"/>
      <c r="B322" s="46"/>
      <c r="C322" s="137" t="str">
        <f t="shared" ref="C322:C323" si="48" xml:space="preserve"> IF(B322="","",setValueToTime(B322))</f>
        <v/>
      </c>
      <c r="D322" s="47"/>
      <c r="E322" s="250"/>
      <c r="F322" s="251"/>
      <c r="G322" s="3"/>
    </row>
    <row r="323" spans="1:7" s="44" customFormat="1" ht="15" thickBot="1" x14ac:dyDescent="0.35">
      <c r="A323" s="48"/>
      <c r="B323" s="48"/>
      <c r="C323" s="138" t="str">
        <f t="shared" si="48"/>
        <v/>
      </c>
      <c r="D323" s="49"/>
      <c r="E323" s="252"/>
      <c r="F323" s="253"/>
      <c r="G323" s="3"/>
    </row>
    <row r="324" spans="1:7" s="44" customFormat="1" ht="15" thickBot="1" x14ac:dyDescent="0.35">
      <c r="A324" s="95" t="s">
        <v>28</v>
      </c>
      <c r="B324" s="69">
        <f>SUM(B316:B323)</f>
        <v>30</v>
      </c>
      <c r="C324" s="95" t="str">
        <f xml:space="preserve"> setValueToTime(B324)</f>
        <v>2h30min</v>
      </c>
      <c r="D324" s="104" t="s">
        <v>173</v>
      </c>
      <c r="E324" s="254"/>
      <c r="F324" s="255"/>
      <c r="G324" s="3"/>
    </row>
    <row r="325" spans="1:7" s="44" customFormat="1" ht="15" thickBot="1" x14ac:dyDescent="0.35">
      <c r="A325" s="64"/>
      <c r="B325" s="64"/>
      <c r="C325" s="64"/>
      <c r="D325" s="64"/>
      <c r="E325" s="64"/>
      <c r="F325" s="64"/>
      <c r="G325" s="3"/>
    </row>
    <row r="326" spans="1:7" s="40" customFormat="1" ht="30" customHeight="1" thickBot="1" x14ac:dyDescent="0.3">
      <c r="A326" s="66" t="s">
        <v>11</v>
      </c>
      <c r="B326" s="146">
        <v>1</v>
      </c>
      <c r="C326" s="146"/>
      <c r="D326" s="67" t="s">
        <v>14</v>
      </c>
      <c r="E326" s="79">
        <v>45411</v>
      </c>
      <c r="F326" s="110" t="s">
        <v>47</v>
      </c>
      <c r="G326" s="39"/>
    </row>
    <row r="327" spans="1:7" s="40" customFormat="1" ht="30" customHeight="1" thickBot="1" x14ac:dyDescent="0.3">
      <c r="A327" s="65" t="s">
        <v>5</v>
      </c>
      <c r="B327" s="133" t="s">
        <v>40</v>
      </c>
      <c r="C327" s="134"/>
      <c r="D327" s="65" t="s">
        <v>12</v>
      </c>
      <c r="E327" s="256" t="s">
        <v>13</v>
      </c>
      <c r="F327" s="257"/>
      <c r="G327" s="39"/>
    </row>
    <row r="328" spans="1:7" s="44" customFormat="1" ht="27" x14ac:dyDescent="0.3">
      <c r="A328" s="41" t="s">
        <v>45</v>
      </c>
      <c r="B328" s="42">
        <v>6</v>
      </c>
      <c r="C328" s="137">
        <v>15</v>
      </c>
      <c r="D328" s="43" t="s">
        <v>164</v>
      </c>
      <c r="E328" s="258"/>
      <c r="F328" s="259"/>
      <c r="G328" s="3"/>
    </row>
    <row r="329" spans="1:7" s="44" customFormat="1" x14ac:dyDescent="0.3">
      <c r="A329" s="45" t="s">
        <v>31</v>
      </c>
      <c r="B329" s="46">
        <v>26</v>
      </c>
      <c r="C329" s="137" t="str">
        <f t="shared" ref="C329" si="49" xml:space="preserve"> IF(B329="","",setValueToTime(B329))</f>
        <v>2h10min</v>
      </c>
      <c r="D329" s="47" t="s">
        <v>79</v>
      </c>
      <c r="E329" s="250"/>
      <c r="F329" s="251"/>
      <c r="G329" s="3"/>
    </row>
    <row r="330" spans="1:7" s="44" customFormat="1" ht="27" x14ac:dyDescent="0.3">
      <c r="A330" s="45" t="s">
        <v>44</v>
      </c>
      <c r="B330" s="46">
        <v>2</v>
      </c>
      <c r="C330" s="137" t="str">
        <f xml:space="preserve"> IF(B330="","",setValueToTime(B330))</f>
        <v>0h10min</v>
      </c>
      <c r="D330" s="47" t="s">
        <v>81</v>
      </c>
      <c r="E330" s="250"/>
      <c r="F330" s="251"/>
      <c r="G330" s="3"/>
    </row>
    <row r="331" spans="1:7" s="44" customFormat="1" x14ac:dyDescent="0.3">
      <c r="A331" s="46" t="s">
        <v>89</v>
      </c>
      <c r="B331" s="46">
        <v>4</v>
      </c>
      <c r="C331" s="137" t="str">
        <f xml:space="preserve"> IF(B331="","",setValueToTime(B331))</f>
        <v>0h20min</v>
      </c>
      <c r="D331" s="47" t="s">
        <v>90</v>
      </c>
      <c r="E331" s="250"/>
      <c r="F331" s="251"/>
      <c r="G331" s="3"/>
    </row>
    <row r="332" spans="1:7" s="44" customFormat="1" x14ac:dyDescent="0.3">
      <c r="A332" s="46" t="s">
        <v>92</v>
      </c>
      <c r="B332" s="46">
        <v>6</v>
      </c>
      <c r="C332" s="137" t="str">
        <f xml:space="preserve"> IF(B332="","",setValueToTime(B332))</f>
        <v>0h30min</v>
      </c>
      <c r="D332" s="47" t="s">
        <v>95</v>
      </c>
      <c r="E332" s="250"/>
      <c r="F332" s="251"/>
      <c r="G332" s="3"/>
    </row>
    <row r="333" spans="1:7" s="44" customFormat="1" x14ac:dyDescent="0.3">
      <c r="A333" s="46" t="s">
        <v>93</v>
      </c>
      <c r="B333" s="46">
        <v>6</v>
      </c>
      <c r="C333" s="137" t="str">
        <f xml:space="preserve"> IF(B333="","",setValueToTime(B333))</f>
        <v>0h30min</v>
      </c>
      <c r="D333" s="47" t="s">
        <v>154</v>
      </c>
      <c r="E333" s="250"/>
      <c r="F333" s="251"/>
      <c r="G333" s="3"/>
    </row>
    <row r="334" spans="1:7" s="44" customFormat="1" x14ac:dyDescent="0.3">
      <c r="A334" s="187"/>
      <c r="B334" s="187"/>
      <c r="C334" s="188"/>
      <c r="D334" s="189"/>
      <c r="E334" s="250"/>
      <c r="F334" s="251"/>
      <c r="G334" s="3"/>
    </row>
    <row r="335" spans="1:7" s="44" customFormat="1" x14ac:dyDescent="0.3">
      <c r="A335" s="187"/>
      <c r="B335" s="187"/>
      <c r="C335" s="188"/>
      <c r="D335" s="189"/>
      <c r="E335" s="190"/>
      <c r="F335" s="191"/>
      <c r="G335" s="3"/>
    </row>
    <row r="336" spans="1:7" s="44" customFormat="1" x14ac:dyDescent="0.3">
      <c r="A336" s="187"/>
      <c r="B336" s="187"/>
      <c r="C336" s="188"/>
      <c r="D336" s="189"/>
      <c r="E336" s="190"/>
      <c r="F336" s="191"/>
      <c r="G336" s="3"/>
    </row>
    <row r="337" spans="1:7" s="44" customFormat="1" ht="15" thickBot="1" x14ac:dyDescent="0.35">
      <c r="A337" s="48"/>
      <c r="B337" s="48"/>
      <c r="C337" s="138" t="str">
        <f t="shared" ref="C337" si="50" xml:space="preserve"> IF(B337="","",setValueToTime(B337))</f>
        <v/>
      </c>
      <c r="D337" s="49"/>
      <c r="E337" s="252"/>
      <c r="F337" s="253"/>
      <c r="G337" s="3"/>
    </row>
    <row r="338" spans="1:7" s="44" customFormat="1" ht="15" thickBot="1" x14ac:dyDescent="0.35">
      <c r="A338" s="95" t="s">
        <v>28</v>
      </c>
      <c r="B338" s="69">
        <f>SUM(B328:B337)</f>
        <v>50</v>
      </c>
      <c r="C338" s="95" t="str">
        <f xml:space="preserve"> setValueToTime(B338)</f>
        <v>4h10min</v>
      </c>
      <c r="D338" s="104" t="s">
        <v>172</v>
      </c>
      <c r="E338" s="254"/>
      <c r="F338" s="255"/>
      <c r="G338" s="3"/>
    </row>
    <row r="339" spans="1:7" s="44" customFormat="1" x14ac:dyDescent="0.3">
      <c r="A339" s="64"/>
      <c r="B339" s="64"/>
      <c r="C339" s="64"/>
      <c r="D339" s="64"/>
      <c r="E339" s="64"/>
      <c r="F339" s="64"/>
      <c r="G339" s="3"/>
    </row>
  </sheetData>
  <sheetProtection formatRows="0" insertRows="0" insertHyperlinks="0" deleteRows="0" selectLockedCells="1"/>
  <mergeCells count="28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79:F279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80:F280"/>
    <mergeCell ref="E281:F281"/>
    <mergeCell ref="E282:F282"/>
    <mergeCell ref="E283:F283"/>
    <mergeCell ref="E296:F296"/>
    <mergeCell ref="E284:F284"/>
    <mergeCell ref="E286:F286"/>
    <mergeCell ref="E287:F287"/>
    <mergeCell ref="E288:F288"/>
    <mergeCell ref="E285:F285"/>
    <mergeCell ref="E312:F312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33:F333"/>
    <mergeCell ref="E334:F334"/>
    <mergeCell ref="E337:F337"/>
    <mergeCell ref="E338:F338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</mergeCells>
  <phoneticPr fontId="0" type="noConversion"/>
  <conditionalFormatting sqref="B338">
    <cfRule type="cellIs" dxfId="57" priority="35" operator="greaterThan">
      <formula>60</formula>
    </cfRule>
  </conditionalFormatting>
  <conditionalFormatting sqref="B324">
    <cfRule type="cellIs" dxfId="56" priority="34" operator="greaterThan">
      <formula>60</formula>
    </cfRule>
  </conditionalFormatting>
  <conditionalFormatting sqref="B312">
    <cfRule type="cellIs" dxfId="55" priority="33" operator="greaterThan">
      <formula>60</formula>
    </cfRule>
  </conditionalFormatting>
  <conditionalFormatting sqref="B300">
    <cfRule type="cellIs" dxfId="54" priority="32" operator="greaterThan">
      <formula>60</formula>
    </cfRule>
  </conditionalFormatting>
  <conditionalFormatting sqref="B288">
    <cfRule type="cellIs" dxfId="53" priority="31" operator="greaterThan">
      <formula>60</formula>
    </cfRule>
  </conditionalFormatting>
  <conditionalFormatting sqref="B276">
    <cfRule type="cellIs" dxfId="52" priority="30" operator="greaterThan">
      <formula>60</formula>
    </cfRule>
  </conditionalFormatting>
  <conditionalFormatting sqref="B264">
    <cfRule type="cellIs" dxfId="51" priority="28" operator="greaterThan">
      <formula>60</formula>
    </cfRule>
  </conditionalFormatting>
  <conditionalFormatting sqref="B252">
    <cfRule type="cellIs" dxfId="50" priority="27" operator="greaterThan">
      <formula>60</formula>
    </cfRule>
  </conditionalFormatting>
  <conditionalFormatting sqref="B240">
    <cfRule type="cellIs" dxfId="49" priority="26" operator="greaterThan">
      <formula>60</formula>
    </cfRule>
  </conditionalFormatting>
  <conditionalFormatting sqref="B228">
    <cfRule type="cellIs" dxfId="48" priority="25" operator="greaterThan">
      <formula>60</formula>
    </cfRule>
  </conditionalFormatting>
  <conditionalFormatting sqref="B216">
    <cfRule type="cellIs" dxfId="47" priority="23" operator="greaterThan">
      <formula>60</formula>
    </cfRule>
  </conditionalFormatting>
  <conditionalFormatting sqref="B204">
    <cfRule type="cellIs" dxfId="46" priority="19" operator="greaterThan">
      <formula>60</formula>
    </cfRule>
  </conditionalFormatting>
  <conditionalFormatting sqref="B192">
    <cfRule type="cellIs" dxfId="45" priority="18" operator="greaterThan">
      <formula>60</formula>
    </cfRule>
  </conditionalFormatting>
  <conditionalFormatting sqref="B180">
    <cfRule type="cellIs" dxfId="44" priority="17" operator="greaterThan">
      <formula>60</formula>
    </cfRule>
  </conditionalFormatting>
  <conditionalFormatting sqref="B168">
    <cfRule type="cellIs" dxfId="43" priority="16" operator="greaterThan">
      <formula>60</formula>
    </cfRule>
  </conditionalFormatting>
  <conditionalFormatting sqref="B156">
    <cfRule type="cellIs" dxfId="42" priority="15" operator="greaterThan">
      <formula>60</formula>
    </cfRule>
  </conditionalFormatting>
  <conditionalFormatting sqref="B144">
    <cfRule type="cellIs" dxfId="41" priority="14" operator="greaterThan">
      <formula>60</formula>
    </cfRule>
  </conditionalFormatting>
  <conditionalFormatting sqref="B132">
    <cfRule type="cellIs" dxfId="40" priority="13" operator="greaterThan">
      <formula>60</formula>
    </cfRule>
  </conditionalFormatting>
  <conditionalFormatting sqref="B120">
    <cfRule type="cellIs" dxfId="39" priority="10" operator="greaterThan">
      <formula>60</formula>
    </cfRule>
  </conditionalFormatting>
  <conditionalFormatting sqref="B108">
    <cfRule type="cellIs" dxfId="38" priority="9" operator="greaterThan">
      <formula>60</formula>
    </cfRule>
  </conditionalFormatting>
  <conditionalFormatting sqref="B96">
    <cfRule type="cellIs" dxfId="37" priority="8" operator="greaterThan">
      <formula>60</formula>
    </cfRule>
  </conditionalFormatting>
  <conditionalFormatting sqref="B84">
    <cfRule type="cellIs" dxfId="36" priority="7" operator="greaterThan">
      <formula>60</formula>
    </cfRule>
  </conditionalFormatting>
  <conditionalFormatting sqref="B72">
    <cfRule type="cellIs" dxfId="35" priority="6" operator="greaterThan">
      <formula>60</formula>
    </cfRule>
  </conditionalFormatting>
  <conditionalFormatting sqref="B60">
    <cfRule type="cellIs" dxfId="34" priority="5" operator="greaterThan">
      <formula>60</formula>
    </cfRule>
  </conditionalFormatting>
  <conditionalFormatting sqref="B48">
    <cfRule type="cellIs" dxfId="33" priority="4" operator="greaterThan">
      <formula>60</formula>
    </cfRule>
  </conditionalFormatting>
  <conditionalFormatting sqref="B36">
    <cfRule type="cellIs" dxfId="32" priority="3" operator="greaterThan">
      <formula>60</formula>
    </cfRule>
  </conditionalFormatting>
  <conditionalFormatting sqref="B24">
    <cfRule type="cellIs" dxfId="31" priority="2" operator="greaterThan">
      <formula>60</formula>
    </cfRule>
  </conditionalFormatting>
  <conditionalFormatting sqref="B12">
    <cfRule type="cellIs" dxfId="3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8 B324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316:B323 B292:B299 B148:B155 B304:B311 B280:B287 B16:B23 B268:B275 B244:B251 B100:B107 B208:B215 B256:B263 B28:B35 B220:B227 B196:B203 B184:B191 B172:B179 B124:B131 B328:B337 B160:B167 B112:B119 B76:B83 B88:B95 B64:B71 B232:B239 B40:B47 B136:B143 B4:B11" xr:uid="{4C46C5A8-B85C-49E4-8C4D-3ABBB3DFA935}">
      <formula1>0</formula1>
    </dataValidation>
    <dataValidation type="list" allowBlank="1" showInputMessage="1" showErrorMessage="1" sqref="A52:A59 A328:A337 A292:A299 A148:A155 A304:A311 A280:A287 A16:A23 A268:A275 A244:A251 A100:A107 A220:A227 A256:A263 A28:A35 A208:A215 A196:A203 A184:A191 A172:A179 A124:A131 A316:A323 A160:A167 A112:A119 A76:A83 A88:A95 A64:A71 A232:A239 A40:A47 A136:A143 A4:A1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8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81" max="16383" man="1"/>
  </rowBreaks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78"/>
  <sheetViews>
    <sheetView showGridLines="0" tabSelected="1" view="pageBreakPreview" zoomScale="98" zoomScaleNormal="100" zoomScaleSheetLayoutView="98" workbookViewId="0">
      <pane ySplit="1" topLeftCell="A81" activePane="bottomLeft" state="frozen"/>
      <selection pane="bottomLeft" activeCell="H94" sqref="H9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28</v>
      </c>
      <c r="C2" s="147"/>
      <c r="D2" s="140" t="s">
        <v>14</v>
      </c>
      <c r="E2" s="141" t="s">
        <v>241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2" t="s">
        <v>13</v>
      </c>
      <c r="F3" s="263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8"/>
      <c r="F4" s="25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0"/>
      <c r="F5" s="25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0"/>
      <c r="F6" s="25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0"/>
      <c r="F10" s="25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2"/>
      <c r="F11" s="253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174</v>
      </c>
      <c r="E12" s="260"/>
      <c r="F12" s="261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27</v>
      </c>
      <c r="C14" s="147"/>
      <c r="D14" s="140" t="s">
        <v>14</v>
      </c>
      <c r="E14" s="141">
        <v>45441</v>
      </c>
      <c r="F14" s="142" t="s">
        <v>46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2" t="s">
        <v>13</v>
      </c>
      <c r="F15" s="263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8"/>
      <c r="F16" s="259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0"/>
      <c r="F17" s="25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0"/>
      <c r="F18" s="25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0"/>
      <c r="F19" s="25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0"/>
      <c r="F20" s="25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0"/>
      <c r="F21" s="25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0"/>
      <c r="F22" s="25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2"/>
      <c r="F23" s="253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174</v>
      </c>
      <c r="E24" s="260"/>
      <c r="F24" s="261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26</v>
      </c>
      <c r="C26" s="147"/>
      <c r="D26" s="140" t="s">
        <v>14</v>
      </c>
      <c r="E26" s="141">
        <v>45441</v>
      </c>
      <c r="F26" s="142" t="s">
        <v>47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2" t="s">
        <v>13</v>
      </c>
      <c r="F27" s="263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8"/>
      <c r="F28" s="259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0"/>
      <c r="F29" s="25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0"/>
      <c r="F30" s="25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0"/>
      <c r="F31" s="25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0"/>
      <c r="F32" s="25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0"/>
      <c r="F33" s="25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0"/>
      <c r="F34" s="25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2"/>
      <c r="F35" s="253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174</v>
      </c>
      <c r="E36" s="260"/>
      <c r="F36" s="261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25</v>
      </c>
      <c r="C38" s="147"/>
      <c r="D38" s="140" t="s">
        <v>14</v>
      </c>
      <c r="E38" s="141">
        <v>45439</v>
      </c>
      <c r="F38" s="142" t="s">
        <v>46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2" t="s">
        <v>13</v>
      </c>
      <c r="F39" s="263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8"/>
      <c r="F40" s="259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0"/>
      <c r="F41" s="25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0"/>
      <c r="F42" s="25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0"/>
      <c r="F43" s="25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0"/>
      <c r="F44" s="25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0"/>
      <c r="F45" s="25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0"/>
      <c r="F46" s="25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2"/>
      <c r="F47" s="253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184</v>
      </c>
      <c r="E48" s="260"/>
      <c r="F48" s="261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24</v>
      </c>
      <c r="C50" s="147"/>
      <c r="D50" s="140" t="s">
        <v>14</v>
      </c>
      <c r="E50" s="141">
        <v>45439</v>
      </c>
      <c r="F50" s="142" t="s">
        <v>47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2" t="s">
        <v>13</v>
      </c>
      <c r="F51" s="263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8"/>
      <c r="F52" s="259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0"/>
      <c r="F53" s="25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0"/>
      <c r="F54" s="25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0"/>
      <c r="F55" s="25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0"/>
      <c r="F56" s="25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0"/>
      <c r="F57" s="25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0"/>
      <c r="F58" s="25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2"/>
      <c r="F59" s="253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176</v>
      </c>
      <c r="E60" s="260"/>
      <c r="F60" s="261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23</v>
      </c>
      <c r="C62" s="147"/>
      <c r="D62" s="140" t="s">
        <v>14</v>
      </c>
      <c r="E62" s="141">
        <v>45436</v>
      </c>
      <c r="F62" s="196" t="s">
        <v>46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2" t="s">
        <v>13</v>
      </c>
      <c r="F63" s="263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8"/>
      <c r="F64" s="259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0"/>
      <c r="F65" s="25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0"/>
      <c r="F66" s="25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0"/>
      <c r="F67" s="25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0"/>
      <c r="F68" s="25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0"/>
      <c r="F69" s="25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0"/>
      <c r="F70" s="25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2"/>
      <c r="F71" s="253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177</v>
      </c>
      <c r="E72" s="260"/>
      <c r="F72" s="261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22</v>
      </c>
      <c r="C74" s="147"/>
      <c r="D74" s="140" t="s">
        <v>14</v>
      </c>
      <c r="E74" s="141">
        <v>45436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2" t="s">
        <v>13</v>
      </c>
      <c r="F75" s="263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8"/>
      <c r="F76" s="259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0"/>
      <c r="F77" s="25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0"/>
      <c r="F78" s="25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0"/>
      <c r="F79" s="25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0"/>
      <c r="F80" s="25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0"/>
      <c r="F81" s="25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0"/>
      <c r="F82" s="25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2"/>
      <c r="F83" s="253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178</v>
      </c>
      <c r="E84" s="260"/>
      <c r="F84" s="261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21</v>
      </c>
      <c r="C86" s="147"/>
      <c r="D86" s="140" t="s">
        <v>14</v>
      </c>
      <c r="E86" s="141">
        <v>45435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2" t="s">
        <v>13</v>
      </c>
      <c r="F87" s="263"/>
      <c r="G87" s="39"/>
    </row>
    <row r="88" spans="1:7" s="44" customFormat="1" x14ac:dyDescent="0.3">
      <c r="A88" s="41" t="s">
        <v>77</v>
      </c>
      <c r="B88" s="42">
        <v>5</v>
      </c>
      <c r="C88" s="135" t="str">
        <f xml:space="preserve"> IF(B88="","",setValueToTime(B88))</f>
        <v>0h25min</v>
      </c>
      <c r="D88" s="214" t="s">
        <v>281</v>
      </c>
      <c r="E88" s="258"/>
      <c r="F88" s="259"/>
      <c r="G88" s="3"/>
    </row>
    <row r="89" spans="1:7" s="44" customFormat="1" x14ac:dyDescent="0.3">
      <c r="A89" s="45" t="s">
        <v>15</v>
      </c>
      <c r="B89" s="46">
        <v>33</v>
      </c>
      <c r="C89" s="136" t="str">
        <f t="shared" ref="C89:C95" si="7" xml:space="preserve"> IF(B89="","",setValueToTime(B89))</f>
        <v>2h45min</v>
      </c>
      <c r="D89" s="202" t="s">
        <v>283</v>
      </c>
      <c r="E89" s="250"/>
      <c r="F89" s="25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0"/>
      <c r="F90" s="25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0"/>
      <c r="F91" s="25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0"/>
      <c r="F92" s="25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0"/>
      <c r="F93" s="25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0"/>
      <c r="F94" s="25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2"/>
      <c r="F95" s="253"/>
      <c r="G95" s="3"/>
    </row>
    <row r="96" spans="1:7" s="44" customFormat="1" ht="40.5" customHeight="1" thickBot="1" x14ac:dyDescent="0.35">
      <c r="A96" s="145" t="s">
        <v>28</v>
      </c>
      <c r="B96" s="68">
        <f>SUM(B88:B95)</f>
        <v>38</v>
      </c>
      <c r="C96" s="145" t="str">
        <f xml:space="preserve"> setValueToTime(B96)</f>
        <v>3h10min</v>
      </c>
      <c r="D96" s="200" t="s">
        <v>175</v>
      </c>
      <c r="E96" s="260" t="s">
        <v>284</v>
      </c>
      <c r="F96" s="261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20</v>
      </c>
      <c r="C98" s="147"/>
      <c r="D98" s="140" t="s">
        <v>14</v>
      </c>
      <c r="E98" s="141">
        <v>45434</v>
      </c>
      <c r="F98" s="142" t="s">
        <v>46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2" t="s">
        <v>13</v>
      </c>
      <c r="F99" s="263"/>
      <c r="G99" s="39"/>
    </row>
    <row r="100" spans="1:7" s="44" customFormat="1" x14ac:dyDescent="0.3">
      <c r="A100" s="41" t="s">
        <v>15</v>
      </c>
      <c r="B100" s="42">
        <v>36</v>
      </c>
      <c r="C100" s="135" t="str">
        <f xml:space="preserve"> IF(B100="","",setValueToTime(B100))</f>
        <v>3h</v>
      </c>
      <c r="D100" s="214" t="s">
        <v>282</v>
      </c>
      <c r="E100" s="258"/>
      <c r="F100" s="259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0"/>
      <c r="F101" s="251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0"/>
      <c r="F102" s="25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0"/>
      <c r="F103" s="25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0"/>
      <c r="F104" s="25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0"/>
      <c r="F105" s="25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0"/>
      <c r="F106" s="25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2"/>
      <c r="F107" s="253"/>
      <c r="G107" s="3"/>
    </row>
    <row r="108" spans="1:7" s="44" customFormat="1" ht="42.75" customHeight="1" thickBot="1" x14ac:dyDescent="0.35">
      <c r="A108" s="145" t="s">
        <v>28</v>
      </c>
      <c r="B108" s="68">
        <f>SUM(B100:B107)</f>
        <v>36</v>
      </c>
      <c r="C108" s="145" t="str">
        <f xml:space="preserve"> setValueToTime(B108)</f>
        <v>3h</v>
      </c>
      <c r="D108" s="200" t="s">
        <v>112</v>
      </c>
      <c r="E108" s="260" t="s">
        <v>279</v>
      </c>
      <c r="F108" s="261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19</v>
      </c>
      <c r="C110" s="147"/>
      <c r="D110" s="140" t="s">
        <v>14</v>
      </c>
      <c r="E110" s="141">
        <v>45434</v>
      </c>
      <c r="F110" s="142" t="s">
        <v>47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2" t="s">
        <v>13</v>
      </c>
      <c r="F111" s="263"/>
      <c r="G111" s="39"/>
    </row>
    <row r="112" spans="1:7" s="44" customFormat="1" ht="54" x14ac:dyDescent="0.3">
      <c r="A112" s="41" t="s">
        <v>88</v>
      </c>
      <c r="B112" s="42">
        <v>5</v>
      </c>
      <c r="C112" s="135" t="str">
        <f xml:space="preserve"> IF(B112="","",setValueToTime(B112))</f>
        <v>0h25min</v>
      </c>
      <c r="D112" s="214" t="s">
        <v>271</v>
      </c>
      <c r="E112" s="258"/>
      <c r="F112" s="259"/>
      <c r="G112" s="3"/>
    </row>
    <row r="113" spans="1:7" s="44" customFormat="1" ht="27" x14ac:dyDescent="0.3">
      <c r="A113" s="45" t="s">
        <v>89</v>
      </c>
      <c r="B113" s="46">
        <v>3</v>
      </c>
      <c r="C113" s="136" t="str">
        <f t="shared" ref="C113:C119" si="9" xml:space="preserve"> IF(B113="","",setValueToTime(B113))</f>
        <v>0h15min</v>
      </c>
      <c r="D113" s="202" t="s">
        <v>272</v>
      </c>
      <c r="E113" s="250"/>
      <c r="F113" s="251"/>
      <c r="G113" s="3"/>
    </row>
    <row r="114" spans="1:7" s="44" customFormat="1" x14ac:dyDescent="0.3">
      <c r="A114" s="45" t="s">
        <v>89</v>
      </c>
      <c r="B114" s="46">
        <v>1</v>
      </c>
      <c r="C114" s="136" t="str">
        <f t="shared" si="9"/>
        <v>0h5min</v>
      </c>
      <c r="D114" s="202" t="s">
        <v>273</v>
      </c>
      <c r="E114" s="250"/>
      <c r="F114" s="251"/>
      <c r="G114" s="3"/>
    </row>
    <row r="115" spans="1:7" s="44" customFormat="1" x14ac:dyDescent="0.3">
      <c r="A115" s="45" t="s">
        <v>58</v>
      </c>
      <c r="B115" s="46">
        <v>3</v>
      </c>
      <c r="C115" s="136" t="str">
        <f t="shared" si="9"/>
        <v>0h15min</v>
      </c>
      <c r="D115" s="202" t="s">
        <v>274</v>
      </c>
      <c r="E115" s="250"/>
      <c r="F115" s="251"/>
      <c r="G115" s="3"/>
    </row>
    <row r="116" spans="1:7" s="44" customFormat="1" x14ac:dyDescent="0.3">
      <c r="A116" s="46" t="s">
        <v>15</v>
      </c>
      <c r="B116" s="46">
        <v>18</v>
      </c>
      <c r="C116" s="137" t="str">
        <f t="shared" si="9"/>
        <v>1h30min</v>
      </c>
      <c r="D116" s="202" t="s">
        <v>125</v>
      </c>
      <c r="E116" s="250"/>
      <c r="F116" s="251"/>
      <c r="G116" s="3"/>
    </row>
    <row r="117" spans="1:7" s="44" customFormat="1" x14ac:dyDescent="0.3">
      <c r="A117" s="46" t="s">
        <v>77</v>
      </c>
      <c r="B117" s="46">
        <v>4</v>
      </c>
      <c r="C117" s="137" t="str">
        <f t="shared" si="9"/>
        <v>0h20min</v>
      </c>
      <c r="D117" s="202" t="s">
        <v>275</v>
      </c>
      <c r="E117" s="250"/>
      <c r="F117" s="251"/>
      <c r="G117" s="3"/>
    </row>
    <row r="118" spans="1:7" s="44" customFormat="1" ht="54" x14ac:dyDescent="0.3">
      <c r="A118" s="46" t="s">
        <v>88</v>
      </c>
      <c r="B118" s="46">
        <v>6</v>
      </c>
      <c r="C118" s="137" t="str">
        <f t="shared" si="9"/>
        <v>0h30min</v>
      </c>
      <c r="D118" s="202" t="s">
        <v>276</v>
      </c>
      <c r="E118" s="250"/>
      <c r="F118" s="25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2"/>
      <c r="F119" s="253"/>
      <c r="G119" s="3"/>
    </row>
    <row r="120" spans="1:7" s="44" customFormat="1" ht="15" thickBot="1" x14ac:dyDescent="0.35">
      <c r="A120" s="145" t="s">
        <v>28</v>
      </c>
      <c r="B120" s="68">
        <f>SUM(B112:B119)</f>
        <v>40</v>
      </c>
      <c r="C120" s="145" t="str">
        <f xml:space="preserve"> setValueToTime(B120)</f>
        <v>3h20min</v>
      </c>
      <c r="D120" s="200" t="s">
        <v>174</v>
      </c>
      <c r="E120" s="260"/>
      <c r="F120" s="261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18</v>
      </c>
      <c r="C122" s="147"/>
      <c r="D122" s="140" t="s">
        <v>14</v>
      </c>
      <c r="E122" s="141" t="s">
        <v>59</v>
      </c>
      <c r="F122" s="142" t="s">
        <v>46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2" t="s">
        <v>13</v>
      </c>
      <c r="F123" s="263"/>
      <c r="G123" s="39"/>
    </row>
    <row r="124" spans="1:7" s="44" customFormat="1" x14ac:dyDescent="0.3">
      <c r="A124" s="41" t="s">
        <v>89</v>
      </c>
      <c r="B124" s="42">
        <v>4</v>
      </c>
      <c r="C124" s="135" t="str">
        <f t="shared" ref="C124:C131" si="10" xml:space="preserve"> IF(B124="","",setValueToTime(B124))</f>
        <v>0h20min</v>
      </c>
      <c r="D124" s="214" t="s">
        <v>170</v>
      </c>
      <c r="E124" s="258"/>
      <c r="F124" s="259"/>
      <c r="G124" s="3"/>
    </row>
    <row r="125" spans="1:7" s="44" customFormat="1" x14ac:dyDescent="0.3">
      <c r="A125" s="45" t="s">
        <v>89</v>
      </c>
      <c r="B125" s="46">
        <v>2</v>
      </c>
      <c r="C125" s="136" t="str">
        <f t="shared" si="10"/>
        <v>0h10min</v>
      </c>
      <c r="D125" s="202" t="s">
        <v>265</v>
      </c>
      <c r="E125" s="250"/>
      <c r="F125" s="251"/>
      <c r="G125" s="3"/>
    </row>
    <row r="126" spans="1:7" s="44" customFormat="1" ht="27" x14ac:dyDescent="0.3">
      <c r="A126" s="45" t="s">
        <v>16</v>
      </c>
      <c r="B126" s="46">
        <v>2</v>
      </c>
      <c r="C126" s="136" t="str">
        <f t="shared" si="10"/>
        <v>0h10min</v>
      </c>
      <c r="D126" s="202" t="s">
        <v>266</v>
      </c>
      <c r="E126" s="250"/>
      <c r="F126" s="251"/>
      <c r="G126" s="3"/>
    </row>
    <row r="127" spans="1:7" s="44" customFormat="1" x14ac:dyDescent="0.3">
      <c r="A127" s="45" t="s">
        <v>15</v>
      </c>
      <c r="B127" s="46">
        <v>14</v>
      </c>
      <c r="C127" s="136" t="str">
        <f t="shared" si="10"/>
        <v>1h10min</v>
      </c>
      <c r="D127" s="202" t="s">
        <v>125</v>
      </c>
      <c r="E127" s="250"/>
      <c r="F127" s="251"/>
      <c r="G127" s="3"/>
    </row>
    <row r="128" spans="1:7" s="44" customFormat="1" ht="54" x14ac:dyDescent="0.3">
      <c r="A128" s="46" t="s">
        <v>88</v>
      </c>
      <c r="B128" s="46">
        <v>11</v>
      </c>
      <c r="C128" s="137" t="str">
        <f t="shared" si="10"/>
        <v>0h55min</v>
      </c>
      <c r="D128" s="202" t="s">
        <v>267</v>
      </c>
      <c r="E128" s="250"/>
      <c r="F128" s="251"/>
      <c r="G128" s="3"/>
    </row>
    <row r="129" spans="1:7" s="44" customFormat="1" ht="54" x14ac:dyDescent="0.3">
      <c r="A129" s="46" t="s">
        <v>88</v>
      </c>
      <c r="B129" s="46">
        <v>6</v>
      </c>
      <c r="C129" s="137" t="str">
        <f xml:space="preserve"> IF(B129="","",setValueToTime(B129))</f>
        <v>0h30min</v>
      </c>
      <c r="D129" s="202" t="s">
        <v>268</v>
      </c>
      <c r="E129" s="250"/>
      <c r="F129" s="251"/>
      <c r="G129" s="3"/>
    </row>
    <row r="130" spans="1:7" s="44" customFormat="1" x14ac:dyDescent="0.3">
      <c r="A130" s="46" t="s">
        <v>89</v>
      </c>
      <c r="B130" s="46">
        <v>1</v>
      </c>
      <c r="C130" s="137" t="str">
        <f xml:space="preserve"> IF(B130="","",setValueToTime(B130))</f>
        <v>0h5min</v>
      </c>
      <c r="D130" s="202" t="s">
        <v>270</v>
      </c>
      <c r="E130" s="250"/>
      <c r="F130" s="25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2"/>
      <c r="F131" s="253"/>
      <c r="G131" s="3"/>
    </row>
    <row r="132" spans="1:7" s="44" customFormat="1" ht="39.75" customHeight="1" thickBot="1" x14ac:dyDescent="0.35">
      <c r="A132" s="145" t="s">
        <v>28</v>
      </c>
      <c r="B132" s="68">
        <f>SUM(B124:B131)</f>
        <v>40</v>
      </c>
      <c r="C132" s="145" t="str">
        <f xml:space="preserve"> setValueToTime(B132)</f>
        <v>3h20min</v>
      </c>
      <c r="D132" s="200" t="s">
        <v>174</v>
      </c>
      <c r="E132" s="260" t="s">
        <v>269</v>
      </c>
      <c r="F132" s="261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17</v>
      </c>
      <c r="C134" s="147"/>
      <c r="D134" s="140" t="s">
        <v>14</v>
      </c>
      <c r="E134" s="141" t="s">
        <v>59</v>
      </c>
      <c r="F134" s="142" t="s">
        <v>47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2" t="s">
        <v>13</v>
      </c>
      <c r="F135" s="263"/>
      <c r="G135" s="39"/>
    </row>
    <row r="136" spans="1:7" s="44" customFormat="1" x14ac:dyDescent="0.3">
      <c r="A136" s="41" t="s">
        <v>58</v>
      </c>
      <c r="B136" s="42">
        <v>36</v>
      </c>
      <c r="C136" s="135" t="str">
        <f t="shared" ref="C136:C143" si="11" xml:space="preserve"> IF(B136="","",setValueToTime(B136))</f>
        <v>3h</v>
      </c>
      <c r="D136" s="214" t="s">
        <v>262</v>
      </c>
      <c r="E136" s="258"/>
      <c r="F136" s="259"/>
      <c r="G136" s="3"/>
    </row>
    <row r="137" spans="1:7" s="44" customFormat="1" x14ac:dyDescent="0.3">
      <c r="A137" s="45" t="s">
        <v>15</v>
      </c>
      <c r="B137" s="46">
        <v>6</v>
      </c>
      <c r="C137" s="136" t="str">
        <f t="shared" si="11"/>
        <v>0h30min</v>
      </c>
      <c r="D137" s="202" t="s">
        <v>263</v>
      </c>
      <c r="E137" s="250"/>
      <c r="F137" s="251"/>
      <c r="G137" s="3"/>
    </row>
    <row r="138" spans="1:7" s="44" customFormat="1" x14ac:dyDescent="0.3">
      <c r="A138" s="45" t="s">
        <v>89</v>
      </c>
      <c r="B138" s="46">
        <v>6</v>
      </c>
      <c r="C138" s="136" t="str">
        <f t="shared" si="11"/>
        <v>0h30min</v>
      </c>
      <c r="D138" s="202" t="s">
        <v>264</v>
      </c>
      <c r="E138" s="250"/>
      <c r="F138" s="25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0"/>
      <c r="F139" s="25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0"/>
      <c r="F140" s="25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0"/>
      <c r="F141" s="25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0"/>
      <c r="F142" s="25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2"/>
      <c r="F143" s="253"/>
      <c r="G143" s="3"/>
    </row>
    <row r="144" spans="1:7" s="44" customFormat="1" ht="15" thickBot="1" x14ac:dyDescent="0.35">
      <c r="A144" s="145" t="s">
        <v>28</v>
      </c>
      <c r="B144" s="68">
        <f>SUM(B136:B143)</f>
        <v>48</v>
      </c>
      <c r="C144" s="145" t="str">
        <f xml:space="preserve"> setValueToTime(B144)</f>
        <v>4h</v>
      </c>
      <c r="D144" s="200" t="s">
        <v>183</v>
      </c>
      <c r="E144" s="260"/>
      <c r="F144" s="261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16</v>
      </c>
      <c r="C146" s="147"/>
      <c r="D146" s="140" t="s">
        <v>14</v>
      </c>
      <c r="E146" s="141" t="s">
        <v>62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2" t="s">
        <v>13</v>
      </c>
      <c r="F147" s="263"/>
      <c r="G147" s="39"/>
    </row>
    <row r="148" spans="1:7" s="44" customFormat="1" ht="27" x14ac:dyDescent="0.3">
      <c r="A148" s="41" t="s">
        <v>85</v>
      </c>
      <c r="B148" s="42">
        <v>4</v>
      </c>
      <c r="C148" s="135" t="str">
        <f t="shared" ref="C148:C155" si="12" xml:space="preserve"> IF(B148="","",setValueToTime(B148))</f>
        <v>0h20min</v>
      </c>
      <c r="D148" s="214" t="s">
        <v>253</v>
      </c>
      <c r="E148" s="258"/>
      <c r="F148" s="259"/>
      <c r="G148" s="3"/>
    </row>
    <row r="149" spans="1:7" s="44" customFormat="1" ht="27" x14ac:dyDescent="0.3">
      <c r="A149" s="45" t="s">
        <v>86</v>
      </c>
      <c r="B149" s="46">
        <v>12</v>
      </c>
      <c r="C149" s="136" t="str">
        <f t="shared" si="12"/>
        <v>1h</v>
      </c>
      <c r="D149" s="202" t="s">
        <v>254</v>
      </c>
      <c r="E149" s="250"/>
      <c r="F149" s="251"/>
      <c r="G149" s="3"/>
    </row>
    <row r="150" spans="1:7" s="44" customFormat="1" ht="27" x14ac:dyDescent="0.3">
      <c r="A150" s="45" t="s">
        <v>87</v>
      </c>
      <c r="B150" s="46">
        <v>12</v>
      </c>
      <c r="C150" s="136" t="str">
        <f t="shared" si="12"/>
        <v>1h</v>
      </c>
      <c r="D150" s="202" t="s">
        <v>257</v>
      </c>
      <c r="E150" s="250"/>
      <c r="F150" s="251"/>
      <c r="G150" s="3"/>
    </row>
    <row r="151" spans="1:7" s="44" customFormat="1" ht="54" x14ac:dyDescent="0.3">
      <c r="A151" s="45" t="s">
        <v>88</v>
      </c>
      <c r="B151" s="46">
        <v>2</v>
      </c>
      <c r="C151" s="136" t="str">
        <f t="shared" si="12"/>
        <v>0h10min</v>
      </c>
      <c r="D151" s="202" t="s">
        <v>255</v>
      </c>
      <c r="E151" s="264" t="s">
        <v>256</v>
      </c>
      <c r="F151" s="251"/>
      <c r="G151" s="3"/>
    </row>
    <row r="152" spans="1:7" s="44" customFormat="1" ht="54" x14ac:dyDescent="0.3">
      <c r="A152" s="46" t="s">
        <v>88</v>
      </c>
      <c r="B152" s="46">
        <v>2</v>
      </c>
      <c r="C152" s="137" t="str">
        <f t="shared" si="12"/>
        <v>0h10min</v>
      </c>
      <c r="D152" s="202" t="s">
        <v>258</v>
      </c>
      <c r="E152" s="250"/>
      <c r="F152" s="251"/>
      <c r="G152" s="3"/>
    </row>
    <row r="153" spans="1:7" s="44" customFormat="1" ht="27" x14ac:dyDescent="0.3">
      <c r="A153" s="46" t="s">
        <v>87</v>
      </c>
      <c r="B153" s="46">
        <v>5</v>
      </c>
      <c r="C153" s="137" t="str">
        <f t="shared" si="12"/>
        <v>0h25min</v>
      </c>
      <c r="D153" s="202" t="s">
        <v>259</v>
      </c>
      <c r="E153" s="250"/>
      <c r="F153" s="251"/>
      <c r="G153" s="3"/>
    </row>
    <row r="154" spans="1:7" s="44" customFormat="1" ht="27" x14ac:dyDescent="0.3">
      <c r="A154" s="46" t="s">
        <v>16</v>
      </c>
      <c r="B154" s="46">
        <v>1</v>
      </c>
      <c r="C154" s="137" t="str">
        <f t="shared" si="12"/>
        <v>0h5min</v>
      </c>
      <c r="D154" s="202" t="s">
        <v>260</v>
      </c>
      <c r="E154" s="250"/>
      <c r="F154" s="25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2"/>
      <c r="F155" s="253"/>
      <c r="G155" s="3"/>
    </row>
    <row r="156" spans="1:7" s="44" customFormat="1" ht="38.25" customHeight="1" thickBot="1" x14ac:dyDescent="0.35">
      <c r="A156" s="145" t="s">
        <v>28</v>
      </c>
      <c r="B156" s="68">
        <f>SUM(B148:B155)</f>
        <v>38</v>
      </c>
      <c r="C156" s="145" t="str">
        <f xml:space="preserve"> setValueToTime(B156)</f>
        <v>3h10min</v>
      </c>
      <c r="D156" s="200" t="s">
        <v>175</v>
      </c>
      <c r="E156" s="260" t="s">
        <v>261</v>
      </c>
      <c r="F156" s="261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15</v>
      </c>
      <c r="C158" s="147"/>
      <c r="D158" s="140" t="s">
        <v>14</v>
      </c>
      <c r="E158" s="141" t="s">
        <v>64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2" t="s">
        <v>13</v>
      </c>
      <c r="F159" s="263"/>
      <c r="G159" s="39"/>
    </row>
    <row r="160" spans="1:7" s="44" customFormat="1" ht="54" x14ac:dyDescent="0.3">
      <c r="A160" s="41" t="s">
        <v>88</v>
      </c>
      <c r="B160" s="42">
        <v>14</v>
      </c>
      <c r="C160" s="135" t="str">
        <f t="shared" ref="C160:C167" si="13" xml:space="preserve"> IF(B160="","",setValueToTime(B160))</f>
        <v>1h10min</v>
      </c>
      <c r="D160" s="214" t="s">
        <v>244</v>
      </c>
      <c r="E160" s="258"/>
      <c r="F160" s="259"/>
      <c r="G160" s="3"/>
    </row>
    <row r="161" spans="1:7" s="44" customFormat="1" ht="27" x14ac:dyDescent="0.3">
      <c r="A161" s="45" t="s">
        <v>86</v>
      </c>
      <c r="B161" s="46">
        <v>12</v>
      </c>
      <c r="C161" s="136" t="str">
        <f t="shared" si="13"/>
        <v>1h</v>
      </c>
      <c r="D161" s="202" t="s">
        <v>245</v>
      </c>
      <c r="E161" s="250"/>
      <c r="F161" s="251"/>
      <c r="G161" s="3"/>
    </row>
    <row r="162" spans="1:7" s="44" customFormat="1" ht="27" x14ac:dyDescent="0.3">
      <c r="A162" s="45" t="s">
        <v>16</v>
      </c>
      <c r="B162" s="46">
        <v>2</v>
      </c>
      <c r="C162" s="136" t="str">
        <f t="shared" si="13"/>
        <v>0h10min</v>
      </c>
      <c r="D162" s="202" t="s">
        <v>229</v>
      </c>
      <c r="E162" s="250"/>
      <c r="F162" s="251"/>
      <c r="G162" s="3"/>
    </row>
    <row r="163" spans="1:7" s="44" customFormat="1" ht="54" x14ac:dyDescent="0.3">
      <c r="A163" s="45" t="s">
        <v>88</v>
      </c>
      <c r="B163" s="46">
        <v>4</v>
      </c>
      <c r="C163" s="136" t="str">
        <f t="shared" si="13"/>
        <v>0h20min</v>
      </c>
      <c r="D163" s="202" t="s">
        <v>246</v>
      </c>
      <c r="E163" s="250"/>
      <c r="F163" s="251"/>
      <c r="G163" s="3"/>
    </row>
    <row r="164" spans="1:7" s="44" customFormat="1" x14ac:dyDescent="0.3">
      <c r="A164" s="215" t="s">
        <v>89</v>
      </c>
      <c r="B164" s="46">
        <v>2</v>
      </c>
      <c r="C164" s="137" t="str">
        <f t="shared" si="13"/>
        <v>0h10min</v>
      </c>
      <c r="D164" s="202" t="s">
        <v>247</v>
      </c>
      <c r="E164" s="250"/>
      <c r="F164" s="251"/>
      <c r="G164" s="3"/>
    </row>
    <row r="165" spans="1:7" s="44" customFormat="1" x14ac:dyDescent="0.3">
      <c r="A165" s="46" t="s">
        <v>15</v>
      </c>
      <c r="B165" s="46">
        <v>2</v>
      </c>
      <c r="C165" s="137" t="str">
        <f t="shared" si="13"/>
        <v>0h10min</v>
      </c>
      <c r="D165" s="202" t="s">
        <v>248</v>
      </c>
      <c r="E165" s="250"/>
      <c r="F165" s="25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0"/>
      <c r="F166" s="25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2"/>
      <c r="F167" s="253"/>
      <c r="G167" s="3"/>
    </row>
    <row r="168" spans="1:7" s="44" customFormat="1" ht="39" customHeight="1" thickBot="1" x14ac:dyDescent="0.35">
      <c r="A168" s="145" t="s">
        <v>28</v>
      </c>
      <c r="B168" s="68">
        <f>SUM(B160:B167)</f>
        <v>36</v>
      </c>
      <c r="C168" s="145" t="str">
        <f xml:space="preserve"> setValueToTime(B168)</f>
        <v>3h</v>
      </c>
      <c r="D168" s="200" t="s">
        <v>112</v>
      </c>
      <c r="E168" s="260" t="s">
        <v>249</v>
      </c>
      <c r="F168" s="261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14</v>
      </c>
      <c r="C170" s="147"/>
      <c r="D170" s="140" t="s">
        <v>14</v>
      </c>
      <c r="E170" s="141" t="s">
        <v>64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2" t="s">
        <v>13</v>
      </c>
      <c r="F171" s="263"/>
      <c r="G171" s="39"/>
    </row>
    <row r="172" spans="1:7" s="44" customFormat="1" ht="27" x14ac:dyDescent="0.3">
      <c r="A172" s="41" t="s">
        <v>16</v>
      </c>
      <c r="B172" s="42">
        <v>3</v>
      </c>
      <c r="C172" s="135" t="str">
        <f t="shared" ref="C172:C179" si="14" xml:space="preserve"> IF(B172="","",setValueToTime(B172))</f>
        <v>0h15min</v>
      </c>
      <c r="D172" s="214" t="s">
        <v>242</v>
      </c>
      <c r="E172" s="258"/>
      <c r="F172" s="259"/>
      <c r="G172" s="3"/>
    </row>
    <row r="173" spans="1:7" s="44" customFormat="1" ht="56.25" customHeight="1" x14ac:dyDescent="0.3">
      <c r="A173" s="45" t="s">
        <v>86</v>
      </c>
      <c r="B173" s="46">
        <v>30</v>
      </c>
      <c r="C173" s="136" t="str">
        <f t="shared" si="14"/>
        <v>2h30min</v>
      </c>
      <c r="D173" s="202" t="s">
        <v>250</v>
      </c>
      <c r="E173" s="264" t="s">
        <v>251</v>
      </c>
      <c r="F173" s="251"/>
      <c r="G173" s="3"/>
    </row>
    <row r="174" spans="1:7" s="44" customFormat="1" ht="54" x14ac:dyDescent="0.3">
      <c r="A174" s="45" t="s">
        <v>88</v>
      </c>
      <c r="B174" s="46">
        <v>5</v>
      </c>
      <c r="C174" s="136" t="str">
        <f t="shared" si="14"/>
        <v>0h25min</v>
      </c>
      <c r="D174" s="202" t="s">
        <v>243</v>
      </c>
      <c r="E174" s="250"/>
      <c r="F174" s="251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0"/>
      <c r="F175" s="25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0"/>
      <c r="F176" s="25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0"/>
      <c r="F177" s="25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0"/>
      <c r="F178" s="25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2"/>
      <c r="F179" s="253"/>
      <c r="G179" s="3"/>
    </row>
    <row r="180" spans="1:7" s="44" customFormat="1" ht="15" thickBot="1" x14ac:dyDescent="0.35">
      <c r="A180" s="145" t="s">
        <v>28</v>
      </c>
      <c r="B180" s="68">
        <f>SUM(B172:B179)</f>
        <v>38</v>
      </c>
      <c r="C180" s="145" t="str">
        <f xml:space="preserve"> setValueToTime(B180)</f>
        <v>3h10min</v>
      </c>
      <c r="D180" s="200" t="s">
        <v>175</v>
      </c>
      <c r="E180" s="260"/>
      <c r="F180" s="261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13</v>
      </c>
      <c r="C182" s="147"/>
      <c r="D182" s="140" t="s">
        <v>14</v>
      </c>
      <c r="E182" s="141" t="s">
        <v>67</v>
      </c>
      <c r="F182" s="142" t="s">
        <v>46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2" t="s">
        <v>13</v>
      </c>
      <c r="F183" s="263"/>
      <c r="G183" s="39"/>
    </row>
    <row r="184" spans="1:7" s="44" customFormat="1" ht="54" x14ac:dyDescent="0.3">
      <c r="A184" s="41" t="s">
        <v>88</v>
      </c>
      <c r="B184" s="42">
        <v>12</v>
      </c>
      <c r="C184" s="135" t="str">
        <f t="shared" ref="C184:C191" si="15" xml:space="preserve"> IF(B184="","",setValueToTime(B184))</f>
        <v>1h</v>
      </c>
      <c r="D184" s="214" t="s">
        <v>227</v>
      </c>
      <c r="E184" s="258"/>
      <c r="F184" s="259"/>
      <c r="G184" s="3"/>
    </row>
    <row r="185" spans="1:7" s="44" customFormat="1" ht="27" x14ac:dyDescent="0.3">
      <c r="A185" s="45" t="s">
        <v>86</v>
      </c>
      <c r="B185" s="46">
        <v>16</v>
      </c>
      <c r="C185" s="136" t="str">
        <f t="shared" si="15"/>
        <v>1h20min</v>
      </c>
      <c r="D185" s="202" t="s">
        <v>228</v>
      </c>
      <c r="E185" s="250"/>
      <c r="F185" s="251"/>
      <c r="G185" s="3"/>
    </row>
    <row r="186" spans="1:7" s="44" customFormat="1" ht="27" x14ac:dyDescent="0.3">
      <c r="A186" s="45" t="s">
        <v>16</v>
      </c>
      <c r="B186" s="46">
        <v>2</v>
      </c>
      <c r="C186" s="136" t="str">
        <f t="shared" si="15"/>
        <v>0h10min</v>
      </c>
      <c r="D186" s="202" t="s">
        <v>229</v>
      </c>
      <c r="E186" s="250"/>
      <c r="F186" s="25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0"/>
      <c r="F187" s="25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0"/>
      <c r="F188" s="25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0"/>
      <c r="F189" s="25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0"/>
      <c r="F190" s="25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2"/>
      <c r="F191" s="253"/>
      <c r="G191" s="3"/>
    </row>
    <row r="192" spans="1:7" s="44" customFormat="1" ht="15" thickBot="1" x14ac:dyDescent="0.35">
      <c r="A192" s="145" t="s">
        <v>28</v>
      </c>
      <c r="B192" s="68">
        <f>SUM(B184:B191)</f>
        <v>30</v>
      </c>
      <c r="C192" s="145" t="str">
        <f xml:space="preserve"> setValueToTime(B192)</f>
        <v>2h30min</v>
      </c>
      <c r="D192" s="200" t="s">
        <v>173</v>
      </c>
      <c r="E192" s="260" t="s">
        <v>230</v>
      </c>
      <c r="F192" s="261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12</v>
      </c>
      <c r="C194" s="147"/>
      <c r="D194" s="140" t="s">
        <v>14</v>
      </c>
      <c r="E194" s="141" t="s">
        <v>67</v>
      </c>
      <c r="F194" s="142" t="s">
        <v>47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2" t="s">
        <v>13</v>
      </c>
      <c r="F195" s="263"/>
      <c r="G195" s="39"/>
    </row>
    <row r="196" spans="1:7" s="44" customFormat="1" x14ac:dyDescent="0.3">
      <c r="A196" s="41" t="s">
        <v>15</v>
      </c>
      <c r="B196" s="42">
        <v>2</v>
      </c>
      <c r="C196" s="135" t="str">
        <f t="shared" ref="C196:C203" si="16" xml:space="preserve"> IF(B196="","",setValueToTime(B196))</f>
        <v>0h10min</v>
      </c>
      <c r="D196" s="214" t="s">
        <v>223</v>
      </c>
      <c r="E196" s="258"/>
      <c r="F196" s="259"/>
      <c r="G196" s="3"/>
    </row>
    <row r="197" spans="1:7" s="44" customFormat="1" x14ac:dyDescent="0.3">
      <c r="A197" s="45" t="s">
        <v>89</v>
      </c>
      <c r="B197" s="46">
        <v>2</v>
      </c>
      <c r="C197" s="136" t="str">
        <f t="shared" si="16"/>
        <v>0h10min</v>
      </c>
      <c r="D197" s="202" t="s">
        <v>198</v>
      </c>
      <c r="E197" s="250"/>
      <c r="F197" s="251"/>
      <c r="G197" s="3"/>
    </row>
    <row r="198" spans="1:7" s="44" customFormat="1" x14ac:dyDescent="0.3">
      <c r="A198" s="45" t="s">
        <v>89</v>
      </c>
      <c r="B198" s="46">
        <v>3</v>
      </c>
      <c r="C198" s="136" t="str">
        <f t="shared" si="16"/>
        <v>0h15min</v>
      </c>
      <c r="D198" s="202" t="s">
        <v>224</v>
      </c>
      <c r="E198" s="250"/>
      <c r="F198" s="251"/>
      <c r="G198" s="3"/>
    </row>
    <row r="199" spans="1:7" s="44" customFormat="1" ht="27" x14ac:dyDescent="0.3">
      <c r="A199" s="45" t="s">
        <v>85</v>
      </c>
      <c r="B199" s="46">
        <v>26</v>
      </c>
      <c r="C199" s="136" t="str">
        <f t="shared" si="16"/>
        <v>2h10min</v>
      </c>
      <c r="D199" s="202" t="s">
        <v>225</v>
      </c>
      <c r="E199" s="250"/>
      <c r="F199" s="251"/>
      <c r="G199" s="3"/>
    </row>
    <row r="200" spans="1:7" s="44" customFormat="1" ht="54" x14ac:dyDescent="0.3">
      <c r="A200" s="46" t="s">
        <v>88</v>
      </c>
      <c r="B200" s="46">
        <v>17</v>
      </c>
      <c r="C200" s="137" t="str">
        <f t="shared" si="16"/>
        <v>1h25min</v>
      </c>
      <c r="D200" s="202" t="s">
        <v>226</v>
      </c>
      <c r="E200" s="250"/>
      <c r="F200" s="25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0"/>
      <c r="F201" s="25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0"/>
      <c r="F202" s="25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2"/>
      <c r="F203" s="253"/>
      <c r="G203" s="3"/>
    </row>
    <row r="204" spans="1:7" s="44" customFormat="1" ht="15" thickBot="1" x14ac:dyDescent="0.35">
      <c r="A204" s="145" t="s">
        <v>28</v>
      </c>
      <c r="B204" s="68">
        <f>SUM(B196:B203)</f>
        <v>50</v>
      </c>
      <c r="C204" s="145" t="str">
        <f xml:space="preserve"> setValueToTime(B204)</f>
        <v>4h10min</v>
      </c>
      <c r="D204" s="200" t="s">
        <v>172</v>
      </c>
      <c r="E204" s="260"/>
      <c r="F204" s="261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11</v>
      </c>
      <c r="C206" s="147"/>
      <c r="D206" s="140" t="s">
        <v>14</v>
      </c>
      <c r="E206" s="141" t="s">
        <v>70</v>
      </c>
      <c r="F206" s="142" t="s">
        <v>46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2" t="s">
        <v>13</v>
      </c>
      <c r="F207" s="263"/>
      <c r="G207" s="39"/>
    </row>
    <row r="208" spans="1:7" s="44" customFormat="1" x14ac:dyDescent="0.3">
      <c r="A208" s="41" t="s">
        <v>15</v>
      </c>
      <c r="B208" s="42">
        <v>10</v>
      </c>
      <c r="C208" s="135" t="str">
        <f t="shared" ref="C208:C215" si="17" xml:space="preserve"> IF(B208="","",setValueToTime(B208))</f>
        <v>0h50min</v>
      </c>
      <c r="D208" s="214" t="s">
        <v>219</v>
      </c>
      <c r="E208" s="258"/>
      <c r="F208" s="259"/>
      <c r="G208" s="3"/>
    </row>
    <row r="209" spans="1:7" s="44" customFormat="1" ht="54" x14ac:dyDescent="0.3">
      <c r="A209" s="45" t="s">
        <v>88</v>
      </c>
      <c r="B209" s="46">
        <v>15</v>
      </c>
      <c r="C209" s="136" t="str">
        <f t="shared" si="17"/>
        <v>1h15min</v>
      </c>
      <c r="D209" s="202" t="s">
        <v>221</v>
      </c>
      <c r="E209" s="250"/>
      <c r="F209" s="251"/>
      <c r="G209" s="3"/>
    </row>
    <row r="210" spans="1:7" s="44" customFormat="1" ht="27" x14ac:dyDescent="0.3">
      <c r="A210" s="45" t="s">
        <v>16</v>
      </c>
      <c r="B210" s="46">
        <v>2</v>
      </c>
      <c r="C210" s="136" t="str">
        <f t="shared" si="17"/>
        <v>0h10min</v>
      </c>
      <c r="D210" s="202" t="s">
        <v>99</v>
      </c>
      <c r="E210" s="250"/>
      <c r="F210" s="251"/>
      <c r="G210" s="3"/>
    </row>
    <row r="211" spans="1:7" s="44" customFormat="1" ht="27" x14ac:dyDescent="0.3">
      <c r="A211" s="45" t="s">
        <v>85</v>
      </c>
      <c r="B211" s="46">
        <v>13</v>
      </c>
      <c r="C211" s="136" t="str">
        <f t="shared" si="17"/>
        <v>1h5min</v>
      </c>
      <c r="D211" s="202" t="s">
        <v>222</v>
      </c>
      <c r="E211" s="250"/>
      <c r="F211" s="25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0"/>
      <c r="F212" s="25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0"/>
      <c r="F213" s="25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0"/>
      <c r="F214" s="25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2"/>
      <c r="F215" s="253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174</v>
      </c>
      <c r="E216" s="260" t="s">
        <v>231</v>
      </c>
      <c r="F216" s="261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10</v>
      </c>
      <c r="C218" s="147"/>
      <c r="D218" s="140" t="s">
        <v>14</v>
      </c>
      <c r="E218" s="141" t="s">
        <v>70</v>
      </c>
      <c r="F218" s="142" t="s">
        <v>47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2" t="s">
        <v>13</v>
      </c>
      <c r="F219" s="263"/>
      <c r="G219" s="39"/>
    </row>
    <row r="220" spans="1:7" s="44" customFormat="1" ht="54" x14ac:dyDescent="0.3">
      <c r="A220" s="41" t="s">
        <v>88</v>
      </c>
      <c r="B220" s="42">
        <v>2</v>
      </c>
      <c r="C220" s="135" t="str">
        <f xml:space="preserve"> IF(B220="","",setValueToTime(B220))</f>
        <v>0h10min</v>
      </c>
      <c r="D220" s="214" t="s">
        <v>217</v>
      </c>
      <c r="E220" s="258"/>
      <c r="F220" s="259"/>
      <c r="G220" s="3"/>
    </row>
    <row r="221" spans="1:7" s="44" customFormat="1" x14ac:dyDescent="0.3">
      <c r="A221" s="45" t="s">
        <v>89</v>
      </c>
      <c r="B221" s="46">
        <v>1</v>
      </c>
      <c r="C221" s="136" t="str">
        <f t="shared" ref="C221:C227" si="18" xml:space="preserve"> IF(B221="","",setValueToTime(B221))</f>
        <v>0h5min</v>
      </c>
      <c r="D221" s="202" t="s">
        <v>218</v>
      </c>
      <c r="E221" s="250"/>
      <c r="F221" s="251"/>
      <c r="G221" s="3"/>
    </row>
    <row r="222" spans="1:7" s="44" customFormat="1" ht="27" x14ac:dyDescent="0.3">
      <c r="A222" s="45" t="s">
        <v>15</v>
      </c>
      <c r="B222" s="46">
        <v>37</v>
      </c>
      <c r="C222" s="136" t="str">
        <f t="shared" si="18"/>
        <v>3h5min</v>
      </c>
      <c r="D222" s="202" t="s">
        <v>220</v>
      </c>
      <c r="E222" s="250"/>
      <c r="F222" s="251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0"/>
      <c r="F223" s="25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0"/>
      <c r="F224" s="25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0"/>
      <c r="F225" s="25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0"/>
      <c r="F226" s="25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2"/>
      <c r="F227" s="253"/>
      <c r="G227" s="3"/>
    </row>
    <row r="228" spans="1:7" s="44" customFormat="1" ht="15" thickBot="1" x14ac:dyDescent="0.35">
      <c r="A228" s="145" t="s">
        <v>28</v>
      </c>
      <c r="B228" s="68">
        <f>SUM(B220:B227)</f>
        <v>40</v>
      </c>
      <c r="C228" s="145" t="str">
        <f xml:space="preserve"> setValueToTime(B228)</f>
        <v>3h20min</v>
      </c>
      <c r="D228" s="200" t="s">
        <v>174</v>
      </c>
      <c r="E228" s="260"/>
      <c r="F228" s="261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9</v>
      </c>
      <c r="C230" s="147"/>
      <c r="D230" s="140" t="s">
        <v>14</v>
      </c>
      <c r="E230" s="141" t="s">
        <v>71</v>
      </c>
      <c r="F230" s="142" t="s">
        <v>46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2" t="s">
        <v>13</v>
      </c>
      <c r="F231" s="263"/>
      <c r="G231" s="39"/>
    </row>
    <row r="232" spans="1:7" s="44" customFormat="1" ht="27" x14ac:dyDescent="0.3">
      <c r="A232" s="41" t="s">
        <v>16</v>
      </c>
      <c r="B232" s="42">
        <v>2</v>
      </c>
      <c r="C232" s="135" t="str">
        <f xml:space="preserve"> IF(B232="","",setValueToTime(B232))</f>
        <v>0h10min</v>
      </c>
      <c r="D232" s="214" t="s">
        <v>99</v>
      </c>
      <c r="E232" s="258"/>
      <c r="F232" s="259"/>
      <c r="G232" s="3"/>
    </row>
    <row r="233" spans="1:7" s="44" customFormat="1" ht="27" x14ac:dyDescent="0.3">
      <c r="A233" s="45" t="s">
        <v>89</v>
      </c>
      <c r="B233" s="46">
        <v>3</v>
      </c>
      <c r="C233" s="136" t="str">
        <f t="shared" ref="C233:C239" si="19" xml:space="preserve"> IF(B233="","",setValueToTime(B233))</f>
        <v>0h15min</v>
      </c>
      <c r="D233" s="202" t="s">
        <v>215</v>
      </c>
      <c r="E233" s="250"/>
      <c r="F233" s="251"/>
      <c r="G233" s="3"/>
    </row>
    <row r="234" spans="1:7" s="44" customFormat="1" ht="27" x14ac:dyDescent="0.3">
      <c r="A234" s="45" t="s">
        <v>85</v>
      </c>
      <c r="B234" s="46">
        <v>25</v>
      </c>
      <c r="C234" s="136" t="str">
        <f t="shared" si="19"/>
        <v>2h5min</v>
      </c>
      <c r="D234" s="202" t="s">
        <v>216</v>
      </c>
      <c r="E234" s="250"/>
      <c r="F234" s="25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0"/>
      <c r="F235" s="25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0"/>
      <c r="F236" s="25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0"/>
      <c r="F237" s="25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0"/>
      <c r="F238" s="251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2"/>
      <c r="F239" s="253"/>
      <c r="G239" s="3"/>
    </row>
    <row r="240" spans="1:7" s="44" customFormat="1" ht="30.75" customHeight="1" thickBot="1" x14ac:dyDescent="0.35">
      <c r="A240" s="145" t="s">
        <v>28</v>
      </c>
      <c r="B240" s="68">
        <f>SUM(B232:B239)</f>
        <v>30</v>
      </c>
      <c r="C240" s="145" t="str">
        <f xml:space="preserve"> setValueToTime(B240)</f>
        <v>2h30min</v>
      </c>
      <c r="D240" s="200" t="s">
        <v>173</v>
      </c>
      <c r="E240" s="260" t="s">
        <v>232</v>
      </c>
      <c r="F240" s="261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8</v>
      </c>
      <c r="C242" s="147"/>
      <c r="D242" s="140" t="s">
        <v>14</v>
      </c>
      <c r="E242" s="141" t="s">
        <v>71</v>
      </c>
      <c r="F242" s="142" t="s">
        <v>47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2" t="s">
        <v>13</v>
      </c>
      <c r="F243" s="263"/>
      <c r="G243" s="39"/>
    </row>
    <row r="244" spans="1:7" s="44" customFormat="1" ht="27" x14ac:dyDescent="0.3">
      <c r="A244" s="41" t="s">
        <v>85</v>
      </c>
      <c r="B244" s="42">
        <v>49</v>
      </c>
      <c r="C244" s="135" t="str">
        <f xml:space="preserve"> IF(B244="","",setValueToTime(B244))</f>
        <v>4h5min</v>
      </c>
      <c r="D244" s="214" t="s">
        <v>213</v>
      </c>
      <c r="E244" s="258"/>
      <c r="F244" s="259"/>
      <c r="G244" s="3"/>
    </row>
    <row r="245" spans="1:7" s="44" customFormat="1" x14ac:dyDescent="0.3">
      <c r="A245" s="45" t="s">
        <v>15</v>
      </c>
      <c r="B245" s="46">
        <v>1</v>
      </c>
      <c r="C245" s="136" t="str">
        <f t="shared" ref="C245:C251" si="20" xml:space="preserve"> IF(B245="","",setValueToTime(B245))</f>
        <v>0h5min</v>
      </c>
      <c r="D245" s="202" t="s">
        <v>214</v>
      </c>
      <c r="E245" s="250"/>
      <c r="F245" s="251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50"/>
      <c r="F246" s="251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50"/>
      <c r="F247" s="251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50"/>
      <c r="F248" s="25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50"/>
      <c r="F249" s="25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50"/>
      <c r="F250" s="25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52"/>
      <c r="F251" s="253"/>
      <c r="G251" s="3"/>
    </row>
    <row r="252" spans="1:7" s="44" customFormat="1" ht="43.5" customHeight="1" thickBot="1" x14ac:dyDescent="0.35">
      <c r="A252" s="145" t="s">
        <v>28</v>
      </c>
      <c r="B252" s="68">
        <f>SUM(B244:B251)</f>
        <v>50</v>
      </c>
      <c r="C252" s="145" t="str">
        <f xml:space="preserve"> setValueToTime(B252)</f>
        <v>4h10min</v>
      </c>
      <c r="D252" s="200" t="s">
        <v>172</v>
      </c>
      <c r="E252" s="260" t="s">
        <v>233</v>
      </c>
      <c r="F252" s="261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7</v>
      </c>
      <c r="C254" s="147"/>
      <c r="D254" s="140" t="s">
        <v>14</v>
      </c>
      <c r="E254" s="141" t="s">
        <v>72</v>
      </c>
      <c r="F254" s="142" t="s">
        <v>46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2" t="s">
        <v>13</v>
      </c>
      <c r="F255" s="263"/>
      <c r="G255" s="39"/>
    </row>
    <row r="256" spans="1:7" s="44" customFormat="1" ht="27" x14ac:dyDescent="0.3">
      <c r="A256" s="41" t="s">
        <v>16</v>
      </c>
      <c r="B256" s="42">
        <v>2</v>
      </c>
      <c r="C256" s="135" t="str">
        <f xml:space="preserve"> IF(B256="","",setValueToTime(B256))</f>
        <v>0h10min</v>
      </c>
      <c r="D256" s="214" t="s">
        <v>208</v>
      </c>
      <c r="E256" s="258"/>
      <c r="F256" s="259"/>
      <c r="G256" s="3"/>
    </row>
    <row r="257" spans="1:7" s="44" customFormat="1" ht="27" x14ac:dyDescent="0.3">
      <c r="A257" s="45" t="s">
        <v>85</v>
      </c>
      <c r="B257" s="46">
        <v>13</v>
      </c>
      <c r="C257" s="136" t="str">
        <f xml:space="preserve"> IF(B257="","",setValueToTime(B257))</f>
        <v>1h5min</v>
      </c>
      <c r="D257" s="47" t="s">
        <v>207</v>
      </c>
      <c r="E257" s="250"/>
      <c r="F257" s="251"/>
      <c r="G257" s="3"/>
    </row>
    <row r="258" spans="1:7" s="44" customFormat="1" ht="27" x14ac:dyDescent="0.3">
      <c r="A258" s="45" t="s">
        <v>85</v>
      </c>
      <c r="B258" s="46">
        <v>19</v>
      </c>
      <c r="C258" s="136" t="str">
        <f t="shared" ref="C258" si="21" xml:space="preserve"> IF(B258="","",setValueToTime(B258))</f>
        <v>1h35min</v>
      </c>
      <c r="D258" s="202" t="s">
        <v>210</v>
      </c>
      <c r="E258" s="265" t="s">
        <v>209</v>
      </c>
      <c r="F258" s="251"/>
      <c r="G258" s="3"/>
    </row>
    <row r="259" spans="1:7" s="44" customFormat="1" x14ac:dyDescent="0.3">
      <c r="A259" s="45" t="s">
        <v>89</v>
      </c>
      <c r="B259" s="46">
        <v>3</v>
      </c>
      <c r="C259" s="136" t="str">
        <f t="shared" ref="C259:C263" si="22" xml:space="preserve"> IF(B259="","",setValueToTime(B259))</f>
        <v>0h15min</v>
      </c>
      <c r="D259" s="202" t="s">
        <v>211</v>
      </c>
      <c r="E259" s="250"/>
      <c r="F259" s="251"/>
      <c r="G259" s="3"/>
    </row>
    <row r="260" spans="1:7" s="44" customFormat="1" x14ac:dyDescent="0.3">
      <c r="A260" s="46" t="s">
        <v>15</v>
      </c>
      <c r="B260" s="46">
        <v>2</v>
      </c>
      <c r="C260" s="137" t="str">
        <f t="shared" si="22"/>
        <v>0h10min</v>
      </c>
      <c r="D260" s="202" t="s">
        <v>204</v>
      </c>
      <c r="E260" s="250"/>
      <c r="F260" s="251"/>
      <c r="G260" s="3"/>
    </row>
    <row r="261" spans="1:7" s="44" customFormat="1" x14ac:dyDescent="0.3">
      <c r="A261" s="46" t="s">
        <v>89</v>
      </c>
      <c r="B261" s="46">
        <v>1</v>
      </c>
      <c r="C261" s="137" t="str">
        <f t="shared" si="22"/>
        <v>0h5min</v>
      </c>
      <c r="D261" s="202" t="s">
        <v>212</v>
      </c>
      <c r="E261" s="250"/>
      <c r="F261" s="251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0"/>
      <c r="F262" s="251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2"/>
      <c r="F263" s="253"/>
      <c r="G263" s="3"/>
    </row>
    <row r="264" spans="1:7" s="44" customFormat="1" ht="15" thickBot="1" x14ac:dyDescent="0.35">
      <c r="A264" s="145" t="s">
        <v>28</v>
      </c>
      <c r="B264" s="68">
        <f>SUM(B256:B263)</f>
        <v>40</v>
      </c>
      <c r="C264" s="145" t="str">
        <f xml:space="preserve"> setValueToTime(B264)</f>
        <v>3h20min</v>
      </c>
      <c r="D264" s="200" t="s">
        <v>174</v>
      </c>
      <c r="E264" s="260" t="s">
        <v>237</v>
      </c>
      <c r="F264" s="261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6</v>
      </c>
      <c r="C266" s="147"/>
      <c r="D266" s="140" t="s">
        <v>14</v>
      </c>
      <c r="E266" s="141" t="s">
        <v>72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2" t="s">
        <v>13</v>
      </c>
      <c r="F267" s="263"/>
      <c r="G267" s="39"/>
    </row>
    <row r="268" spans="1:7" s="44" customFormat="1" ht="27" x14ac:dyDescent="0.3">
      <c r="A268" s="41" t="s">
        <v>16</v>
      </c>
      <c r="B268" s="42">
        <v>1</v>
      </c>
      <c r="C268" s="135" t="str">
        <f xml:space="preserve"> IF(B268="","",setValueToTime(B268))</f>
        <v>0h5min</v>
      </c>
      <c r="D268" s="214" t="s">
        <v>204</v>
      </c>
      <c r="E268" s="258"/>
      <c r="F268" s="259"/>
      <c r="G268" s="3"/>
    </row>
    <row r="269" spans="1:7" s="44" customFormat="1" ht="27" x14ac:dyDescent="0.3">
      <c r="A269" s="45" t="s">
        <v>84</v>
      </c>
      <c r="B269" s="46">
        <v>4</v>
      </c>
      <c r="C269" s="136" t="str">
        <f t="shared" ref="C269:C275" si="23" xml:space="preserve"> IF(B269="","",setValueToTime(B269))</f>
        <v>0h20min</v>
      </c>
      <c r="D269" s="202" t="s">
        <v>205</v>
      </c>
      <c r="E269" s="250"/>
      <c r="F269" s="251"/>
      <c r="G269" s="3"/>
    </row>
    <row r="270" spans="1:7" s="44" customFormat="1" ht="27" x14ac:dyDescent="0.3">
      <c r="A270" s="45" t="s">
        <v>85</v>
      </c>
      <c r="B270" s="46">
        <v>45</v>
      </c>
      <c r="C270" s="136" t="str">
        <f t="shared" si="23"/>
        <v>3h45min</v>
      </c>
      <c r="D270" s="202" t="s">
        <v>206</v>
      </c>
      <c r="E270" s="250"/>
      <c r="F270" s="251"/>
      <c r="G270" s="3"/>
    </row>
    <row r="271" spans="1:7" s="44" customFormat="1" x14ac:dyDescent="0.3">
      <c r="A271" s="45"/>
      <c r="B271" s="46"/>
      <c r="C271" s="136" t="str">
        <f t="shared" si="23"/>
        <v/>
      </c>
      <c r="D271" s="47"/>
      <c r="E271" s="250"/>
      <c r="F271" s="251"/>
      <c r="G271" s="3"/>
    </row>
    <row r="272" spans="1:7" s="44" customFormat="1" x14ac:dyDescent="0.3">
      <c r="A272" s="46"/>
      <c r="B272" s="46"/>
      <c r="C272" s="137" t="str">
        <f t="shared" si="23"/>
        <v/>
      </c>
      <c r="D272" s="47"/>
      <c r="E272" s="250"/>
      <c r="F272" s="251"/>
      <c r="G272" s="3"/>
    </row>
    <row r="273" spans="1:7" s="44" customFormat="1" x14ac:dyDescent="0.3">
      <c r="A273" s="46"/>
      <c r="B273" s="46"/>
      <c r="C273" s="137" t="str">
        <f t="shared" si="23"/>
        <v/>
      </c>
      <c r="D273" s="47"/>
      <c r="E273" s="250"/>
      <c r="F273" s="251"/>
      <c r="G273" s="3"/>
    </row>
    <row r="274" spans="1:7" s="44" customFormat="1" x14ac:dyDescent="0.3">
      <c r="A274" s="46"/>
      <c r="B274" s="46"/>
      <c r="C274" s="137" t="str">
        <f t="shared" si="23"/>
        <v/>
      </c>
      <c r="D274" s="47"/>
      <c r="E274" s="250"/>
      <c r="F274" s="251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2"/>
      <c r="F275" s="253"/>
      <c r="G275" s="3"/>
    </row>
    <row r="276" spans="1:7" s="44" customFormat="1" ht="15" thickBot="1" x14ac:dyDescent="0.35">
      <c r="A276" s="145" t="s">
        <v>28</v>
      </c>
      <c r="B276" s="68">
        <f>SUM(B268:B275)</f>
        <v>50</v>
      </c>
      <c r="C276" s="145" t="str">
        <f xml:space="preserve"> setValueToTime(B276)</f>
        <v>4h10min</v>
      </c>
      <c r="D276" s="200" t="s">
        <v>172</v>
      </c>
      <c r="E276" s="260"/>
      <c r="F276" s="261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5</v>
      </c>
      <c r="C278" s="147"/>
      <c r="D278" s="140" t="s">
        <v>14</v>
      </c>
      <c r="E278" s="141" t="s">
        <v>73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2" t="s">
        <v>13</v>
      </c>
      <c r="F279" s="263"/>
      <c r="G279" s="39"/>
    </row>
    <row r="280" spans="1:7" s="44" customFormat="1" ht="27" x14ac:dyDescent="0.3">
      <c r="A280" s="41" t="s">
        <v>82</v>
      </c>
      <c r="B280" s="42">
        <v>13</v>
      </c>
      <c r="C280" s="135" t="str">
        <f xml:space="preserve"> IF(B280="","",setValueToTime(B280))</f>
        <v>1h5min</v>
      </c>
      <c r="D280" s="214" t="s">
        <v>197</v>
      </c>
      <c r="E280" s="266" t="s">
        <v>196</v>
      </c>
      <c r="F280" s="259"/>
      <c r="G280" s="3"/>
    </row>
    <row r="281" spans="1:7" s="44" customFormat="1" ht="27" x14ac:dyDescent="0.3">
      <c r="A281" s="45" t="s">
        <v>15</v>
      </c>
      <c r="B281" s="46">
        <v>6</v>
      </c>
      <c r="C281" s="136" t="str">
        <f t="shared" ref="C281:C287" si="24" xml:space="preserve"> IF(B281="","",setValueToTime(B281))</f>
        <v>0h30min</v>
      </c>
      <c r="D281" s="202" t="s">
        <v>280</v>
      </c>
      <c r="E281" s="250"/>
      <c r="F281" s="251"/>
      <c r="G281" s="3"/>
    </row>
    <row r="282" spans="1:7" s="44" customFormat="1" x14ac:dyDescent="0.3">
      <c r="A282" s="45" t="s">
        <v>89</v>
      </c>
      <c r="B282" s="46">
        <v>3</v>
      </c>
      <c r="C282" s="136" t="str">
        <f t="shared" si="24"/>
        <v>0h15min</v>
      </c>
      <c r="D282" s="202" t="s">
        <v>198</v>
      </c>
      <c r="E282" s="250"/>
      <c r="F282" s="251"/>
      <c r="G282" s="3"/>
    </row>
    <row r="283" spans="1:7" s="44" customFormat="1" ht="30" customHeight="1" x14ac:dyDescent="0.3">
      <c r="A283" s="45" t="s">
        <v>89</v>
      </c>
      <c r="B283" s="46">
        <v>3</v>
      </c>
      <c r="C283" s="136" t="str">
        <f t="shared" si="24"/>
        <v>0h15min</v>
      </c>
      <c r="D283" s="202" t="s">
        <v>199</v>
      </c>
      <c r="E283" s="265" t="s">
        <v>200</v>
      </c>
      <c r="F283" s="251"/>
      <c r="G283" s="3"/>
    </row>
    <row r="284" spans="1:7" s="44" customFormat="1" ht="27" x14ac:dyDescent="0.3">
      <c r="A284" s="46" t="s">
        <v>83</v>
      </c>
      <c r="B284" s="46">
        <v>4</v>
      </c>
      <c r="C284" s="137" t="str">
        <f t="shared" si="24"/>
        <v>0h20min</v>
      </c>
      <c r="D284" s="202" t="s">
        <v>201</v>
      </c>
      <c r="E284" s="250"/>
      <c r="F284" s="251"/>
      <c r="G284" s="3"/>
    </row>
    <row r="285" spans="1:7" s="44" customFormat="1" ht="54" x14ac:dyDescent="0.3">
      <c r="A285" s="46" t="s">
        <v>88</v>
      </c>
      <c r="B285" s="46">
        <v>5</v>
      </c>
      <c r="C285" s="137" t="str">
        <f t="shared" si="24"/>
        <v>0h25min</v>
      </c>
      <c r="D285" s="202" t="s">
        <v>202</v>
      </c>
      <c r="E285" s="250"/>
      <c r="F285" s="251"/>
      <c r="G285" s="3"/>
    </row>
    <row r="286" spans="1:7" s="44" customFormat="1" ht="27" x14ac:dyDescent="0.3">
      <c r="A286" s="46" t="s">
        <v>84</v>
      </c>
      <c r="B286" s="46">
        <v>6</v>
      </c>
      <c r="C286" s="137" t="str">
        <f t="shared" si="24"/>
        <v>0h30min</v>
      </c>
      <c r="D286" s="202" t="s">
        <v>203</v>
      </c>
      <c r="E286" s="250"/>
      <c r="F286" s="251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2"/>
      <c r="F287" s="253"/>
      <c r="G287" s="3"/>
    </row>
    <row r="288" spans="1:7" s="44" customFormat="1" ht="28.5" customHeight="1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174</v>
      </c>
      <c r="E288" s="260" t="s">
        <v>236</v>
      </c>
      <c r="F288" s="261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4</v>
      </c>
      <c r="C290" s="147"/>
      <c r="D290" s="140" t="s">
        <v>14</v>
      </c>
      <c r="E290" s="141" t="s">
        <v>74</v>
      </c>
      <c r="F290" s="142" t="s">
        <v>46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2" t="s">
        <v>13</v>
      </c>
      <c r="F291" s="263"/>
      <c r="G291" s="39"/>
    </row>
    <row r="292" spans="1:7" s="44" customFormat="1" ht="27" x14ac:dyDescent="0.3">
      <c r="A292" s="41" t="s">
        <v>82</v>
      </c>
      <c r="B292" s="42">
        <v>6</v>
      </c>
      <c r="C292" s="135" t="str">
        <f xml:space="preserve"> IF(B292="","",setValueToTime(B292))</f>
        <v>0h30min</v>
      </c>
      <c r="D292" s="43" t="s">
        <v>188</v>
      </c>
      <c r="E292" s="258"/>
      <c r="F292" s="259"/>
      <c r="G292" s="3"/>
    </row>
    <row r="293" spans="1:7" s="44" customFormat="1" ht="27" x14ac:dyDescent="0.3">
      <c r="A293" s="45" t="s">
        <v>83</v>
      </c>
      <c r="B293" s="46">
        <v>13</v>
      </c>
      <c r="C293" s="136" t="str">
        <f t="shared" ref="C293:C299" si="25" xml:space="preserve"> IF(B293="","",setValueToTime(B293))</f>
        <v>1h5min</v>
      </c>
      <c r="D293" s="47" t="s">
        <v>190</v>
      </c>
      <c r="E293" s="250"/>
      <c r="F293" s="251"/>
      <c r="G293" s="3"/>
    </row>
    <row r="294" spans="1:7" s="44" customFormat="1" ht="27" x14ac:dyDescent="0.3">
      <c r="A294" s="45" t="s">
        <v>83</v>
      </c>
      <c r="B294" s="46">
        <v>3</v>
      </c>
      <c r="C294" s="136" t="str">
        <f t="shared" si="25"/>
        <v>0h15min</v>
      </c>
      <c r="D294" s="47" t="s">
        <v>189</v>
      </c>
      <c r="E294" s="250"/>
      <c r="F294" s="251"/>
      <c r="G294" s="3"/>
    </row>
    <row r="295" spans="1:7" s="44" customFormat="1" ht="27" x14ac:dyDescent="0.3">
      <c r="A295" s="45" t="s">
        <v>89</v>
      </c>
      <c r="B295" s="46">
        <v>1</v>
      </c>
      <c r="C295" s="136" t="str">
        <f t="shared" si="25"/>
        <v>0h5min</v>
      </c>
      <c r="D295" s="47" t="s">
        <v>192</v>
      </c>
      <c r="E295" s="265" t="s">
        <v>191</v>
      </c>
      <c r="F295" s="251"/>
      <c r="G295" s="3"/>
    </row>
    <row r="296" spans="1:7" s="44" customFormat="1" ht="27" x14ac:dyDescent="0.3">
      <c r="A296" s="46" t="s">
        <v>89</v>
      </c>
      <c r="B296" s="46">
        <v>1</v>
      </c>
      <c r="C296" s="137" t="str">
        <f t="shared" si="25"/>
        <v>0h5min</v>
      </c>
      <c r="D296" s="47" t="s">
        <v>194</v>
      </c>
      <c r="E296" s="265" t="s">
        <v>193</v>
      </c>
      <c r="F296" s="251"/>
      <c r="G296" s="3"/>
    </row>
    <row r="297" spans="1:7" s="44" customFormat="1" ht="27" x14ac:dyDescent="0.3">
      <c r="A297" s="46" t="s">
        <v>82</v>
      </c>
      <c r="B297" s="46">
        <v>16</v>
      </c>
      <c r="C297" s="137" t="str">
        <f t="shared" si="25"/>
        <v>1h20min</v>
      </c>
      <c r="D297" s="47" t="s">
        <v>195</v>
      </c>
      <c r="E297" s="250"/>
      <c r="F297" s="251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0"/>
      <c r="F298" s="251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2"/>
      <c r="F299" s="253"/>
      <c r="G299" s="3"/>
    </row>
    <row r="300" spans="1:7" s="44" customFormat="1" ht="29.25" customHeight="1" thickBot="1" x14ac:dyDescent="0.35">
      <c r="A300" s="145" t="s">
        <v>28</v>
      </c>
      <c r="B300" s="68">
        <f>SUM(B292:B299)</f>
        <v>40</v>
      </c>
      <c r="C300" s="145" t="str">
        <f xml:space="preserve"> setValueToTime(B300)</f>
        <v>3h20min</v>
      </c>
      <c r="D300" s="200" t="s">
        <v>174</v>
      </c>
      <c r="E300" s="260" t="s">
        <v>235</v>
      </c>
      <c r="F300" s="261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3</v>
      </c>
      <c r="C302" s="147"/>
      <c r="D302" s="140" t="s">
        <v>14</v>
      </c>
      <c r="E302" s="141" t="s">
        <v>74</v>
      </c>
      <c r="F302" s="142" t="s">
        <v>47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2" t="s">
        <v>13</v>
      </c>
      <c r="F303" s="263"/>
      <c r="G303" s="39"/>
    </row>
    <row r="304" spans="1:7" s="44" customFormat="1" x14ac:dyDescent="0.3">
      <c r="A304" s="41" t="s">
        <v>4</v>
      </c>
      <c r="B304" s="42">
        <v>36</v>
      </c>
      <c r="C304" s="135" t="str">
        <f xml:space="preserve"> IF(B304="","",setValueToTime(B304))</f>
        <v>3h</v>
      </c>
      <c r="D304" s="43" t="s">
        <v>187</v>
      </c>
      <c r="E304" s="258"/>
      <c r="F304" s="259"/>
      <c r="G304" s="3"/>
    </row>
    <row r="305" spans="1:7" s="44" customFormat="1" x14ac:dyDescent="0.3">
      <c r="A305" s="45"/>
      <c r="B305" s="46"/>
      <c r="C305" s="136" t="str">
        <f t="shared" ref="C305:C311" si="26" xml:space="preserve"> IF(B305="","",setValueToTime(B305))</f>
        <v/>
      </c>
      <c r="D305" s="47"/>
      <c r="E305" s="250"/>
      <c r="F305" s="251"/>
      <c r="G305" s="3"/>
    </row>
    <row r="306" spans="1:7" s="44" customFormat="1" x14ac:dyDescent="0.3">
      <c r="A306" s="45"/>
      <c r="B306" s="46"/>
      <c r="C306" s="136" t="str">
        <f t="shared" si="26"/>
        <v/>
      </c>
      <c r="D306" s="47"/>
      <c r="E306" s="250"/>
      <c r="F306" s="251"/>
      <c r="G306" s="3"/>
    </row>
    <row r="307" spans="1:7" s="44" customFormat="1" x14ac:dyDescent="0.3">
      <c r="A307" s="45"/>
      <c r="B307" s="46"/>
      <c r="C307" s="136" t="str">
        <f t="shared" si="26"/>
        <v/>
      </c>
      <c r="D307" s="47"/>
      <c r="E307" s="250"/>
      <c r="F307" s="251"/>
      <c r="G307" s="3"/>
    </row>
    <row r="308" spans="1:7" s="44" customFormat="1" x14ac:dyDescent="0.3">
      <c r="A308" s="46"/>
      <c r="B308" s="46"/>
      <c r="C308" s="137" t="str">
        <f t="shared" si="26"/>
        <v/>
      </c>
      <c r="D308" s="47"/>
      <c r="E308" s="250"/>
      <c r="F308" s="251"/>
      <c r="G308" s="3"/>
    </row>
    <row r="309" spans="1:7" s="44" customFormat="1" x14ac:dyDescent="0.3">
      <c r="A309" s="46"/>
      <c r="B309" s="46"/>
      <c r="C309" s="137" t="str">
        <f t="shared" si="26"/>
        <v/>
      </c>
      <c r="D309" s="47"/>
      <c r="E309" s="250"/>
      <c r="F309" s="251"/>
      <c r="G309" s="3"/>
    </row>
    <row r="310" spans="1:7" s="44" customFormat="1" x14ac:dyDescent="0.3">
      <c r="A310" s="46"/>
      <c r="B310" s="46"/>
      <c r="C310" s="137" t="str">
        <f t="shared" si="26"/>
        <v/>
      </c>
      <c r="D310" s="47"/>
      <c r="E310" s="250"/>
      <c r="F310" s="251"/>
      <c r="G310" s="3"/>
    </row>
    <row r="311" spans="1:7" s="44" customFormat="1" ht="15" thickBot="1" x14ac:dyDescent="0.35">
      <c r="A311" s="48"/>
      <c r="B311" s="48"/>
      <c r="C311" s="138" t="str">
        <f t="shared" si="26"/>
        <v/>
      </c>
      <c r="D311" s="49"/>
      <c r="E311" s="252"/>
      <c r="F311" s="253"/>
      <c r="G311" s="3"/>
    </row>
    <row r="312" spans="1:7" s="44" customFormat="1" ht="15" thickBot="1" x14ac:dyDescent="0.35">
      <c r="A312" s="145" t="s">
        <v>28</v>
      </c>
      <c r="B312" s="68">
        <f>SUM(B304:B311)</f>
        <v>36</v>
      </c>
      <c r="C312" s="145" t="str">
        <f xml:space="preserve"> setValueToTime(B312)</f>
        <v>3h</v>
      </c>
      <c r="D312" s="105" t="s">
        <v>112</v>
      </c>
      <c r="E312" s="260"/>
      <c r="F312" s="261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2</v>
      </c>
      <c r="C314" s="147"/>
      <c r="D314" s="140" t="s">
        <v>14</v>
      </c>
      <c r="E314" s="141" t="s">
        <v>75</v>
      </c>
      <c r="F314" s="142" t="s">
        <v>46</v>
      </c>
      <c r="G314" s="39"/>
    </row>
    <row r="315" spans="1:7" s="40" customFormat="1" ht="30" customHeight="1" thickBot="1" x14ac:dyDescent="0.3">
      <c r="A315" s="63" t="s">
        <v>5</v>
      </c>
      <c r="B315" s="144" t="s">
        <v>40</v>
      </c>
      <c r="C315" s="143"/>
      <c r="D315" s="63" t="s">
        <v>12</v>
      </c>
      <c r="E315" s="262" t="s">
        <v>13</v>
      </c>
      <c r="F315" s="263"/>
      <c r="G315" s="39"/>
    </row>
    <row r="316" spans="1:7" s="44" customFormat="1" x14ac:dyDescent="0.3">
      <c r="A316" s="41" t="s">
        <v>89</v>
      </c>
      <c r="B316" s="42">
        <v>4</v>
      </c>
      <c r="C316" s="135" t="str">
        <f xml:space="preserve"> IF(B316="","",setValueToTime(B316))</f>
        <v>0h20min</v>
      </c>
      <c r="D316" s="43" t="s">
        <v>153</v>
      </c>
      <c r="E316" s="258"/>
      <c r="F316" s="259"/>
      <c r="G316" s="3"/>
    </row>
    <row r="317" spans="1:7" s="44" customFormat="1" ht="27" x14ac:dyDescent="0.3">
      <c r="A317" s="197" t="s">
        <v>93</v>
      </c>
      <c r="B317" s="198">
        <v>2</v>
      </c>
      <c r="C317" s="136" t="str">
        <f t="shared" ref="C317:C324" si="27" xml:space="preserve"> IF(B317="","",setValueToTime(B317))</f>
        <v>0h10min</v>
      </c>
      <c r="D317" s="199" t="s">
        <v>158</v>
      </c>
      <c r="E317" s="265" t="s">
        <v>159</v>
      </c>
      <c r="F317" s="251"/>
      <c r="G317" s="3"/>
    </row>
    <row r="318" spans="1:7" s="44" customFormat="1" ht="27" x14ac:dyDescent="0.3">
      <c r="A318" s="197" t="s">
        <v>91</v>
      </c>
      <c r="B318" s="198">
        <v>12</v>
      </c>
      <c r="C318" s="136" t="str">
        <f t="shared" si="27"/>
        <v>1h</v>
      </c>
      <c r="D318" s="199" t="s">
        <v>161</v>
      </c>
      <c r="E318" s="265" t="s">
        <v>162</v>
      </c>
      <c r="F318" s="251"/>
      <c r="G318" s="3"/>
    </row>
    <row r="319" spans="1:7" s="44" customFormat="1" ht="27" x14ac:dyDescent="0.3">
      <c r="A319" s="45" t="s">
        <v>31</v>
      </c>
      <c r="B319" s="46">
        <v>4</v>
      </c>
      <c r="C319" s="136" t="str">
        <f t="shared" si="27"/>
        <v>0h20min</v>
      </c>
      <c r="D319" s="202" t="s">
        <v>179</v>
      </c>
      <c r="E319" s="250"/>
      <c r="F319" s="251"/>
      <c r="G319" s="3"/>
    </row>
    <row r="320" spans="1:7" s="44" customFormat="1" ht="40.5" x14ac:dyDescent="0.3">
      <c r="A320" s="45" t="s">
        <v>94</v>
      </c>
      <c r="B320" s="46">
        <v>8</v>
      </c>
      <c r="C320" s="136" t="str">
        <f t="shared" si="27"/>
        <v>0h40min</v>
      </c>
      <c r="D320" s="202" t="s">
        <v>180</v>
      </c>
      <c r="E320" s="264" t="s">
        <v>181</v>
      </c>
      <c r="F320" s="251"/>
      <c r="G320" s="3"/>
    </row>
    <row r="321" spans="1:7" s="44" customFormat="1" x14ac:dyDescent="0.3">
      <c r="A321" s="45"/>
      <c r="B321" s="46"/>
      <c r="C321" s="136" t="str">
        <f t="shared" si="27"/>
        <v/>
      </c>
      <c r="D321" s="47"/>
      <c r="E321" s="250"/>
      <c r="F321" s="251"/>
      <c r="G321" s="3"/>
    </row>
    <row r="322" spans="1:7" s="44" customFormat="1" x14ac:dyDescent="0.3">
      <c r="A322" s="46"/>
      <c r="B322" s="46"/>
      <c r="C322" s="136" t="str">
        <f t="shared" si="27"/>
        <v/>
      </c>
      <c r="D322" s="47"/>
      <c r="E322" s="250"/>
      <c r="F322" s="251"/>
      <c r="G322" s="3"/>
    </row>
    <row r="323" spans="1:7" s="44" customFormat="1" x14ac:dyDescent="0.3">
      <c r="A323" s="46"/>
      <c r="B323" s="46"/>
      <c r="C323" s="136" t="str">
        <f t="shared" si="27"/>
        <v/>
      </c>
      <c r="D323" s="47"/>
      <c r="E323" s="250"/>
      <c r="F323" s="251"/>
      <c r="G323" s="3"/>
    </row>
    <row r="324" spans="1:7" s="44" customFormat="1" x14ac:dyDescent="0.3">
      <c r="A324" s="46"/>
      <c r="B324" s="46"/>
      <c r="C324" s="136" t="str">
        <f t="shared" si="27"/>
        <v/>
      </c>
      <c r="D324" s="47"/>
      <c r="E324" s="250"/>
      <c r="F324" s="251"/>
      <c r="G324" s="3"/>
    </row>
    <row r="325" spans="1:7" s="44" customFormat="1" ht="15" thickBot="1" x14ac:dyDescent="0.35">
      <c r="A325" s="48"/>
      <c r="B325" s="48"/>
      <c r="C325" s="138" t="str">
        <f t="shared" ref="C325" si="28" xml:space="preserve"> IF(B325="","",setValueToTime(B325))</f>
        <v/>
      </c>
      <c r="D325" s="49"/>
      <c r="E325" s="252"/>
      <c r="F325" s="253"/>
      <c r="G325" s="3"/>
    </row>
    <row r="326" spans="1:7" s="44" customFormat="1" ht="15" thickBot="1" x14ac:dyDescent="0.35">
      <c r="A326" s="145" t="s">
        <v>28</v>
      </c>
      <c r="B326" s="68">
        <f>SUM(B316:B325)</f>
        <v>30</v>
      </c>
      <c r="C326" s="145" t="str">
        <f xml:space="preserve"> setValueToTime(B326)</f>
        <v>2h30min</v>
      </c>
      <c r="D326" s="105" t="s">
        <v>173</v>
      </c>
      <c r="E326" s="260" t="s">
        <v>234</v>
      </c>
      <c r="F326" s="261"/>
      <c r="G326" s="3"/>
    </row>
    <row r="327" spans="1:7" s="44" customFormat="1" ht="15" thickBot="1" x14ac:dyDescent="0.35">
      <c r="A327" s="62"/>
      <c r="B327" s="62"/>
      <c r="C327" s="62"/>
      <c r="D327" s="62"/>
      <c r="E327" s="62"/>
      <c r="F327" s="62"/>
      <c r="G327" s="3"/>
    </row>
    <row r="328" spans="1:7" s="40" customFormat="1" ht="30" customHeight="1" thickBot="1" x14ac:dyDescent="0.3">
      <c r="A328" s="139" t="s">
        <v>11</v>
      </c>
      <c r="B328" s="147">
        <v>1</v>
      </c>
      <c r="C328" s="147"/>
      <c r="D328" s="140" t="s">
        <v>14</v>
      </c>
      <c r="E328" s="141" t="s">
        <v>75</v>
      </c>
      <c r="F328" s="142" t="s">
        <v>47</v>
      </c>
      <c r="G328" s="39"/>
    </row>
    <row r="329" spans="1:7" s="40" customFormat="1" ht="30" customHeight="1" thickBot="1" x14ac:dyDescent="0.3">
      <c r="A329" s="63" t="s">
        <v>5</v>
      </c>
      <c r="B329" s="144" t="s">
        <v>40</v>
      </c>
      <c r="C329" s="143"/>
      <c r="D329" s="63" t="s">
        <v>12</v>
      </c>
      <c r="E329" s="262" t="s">
        <v>13</v>
      </c>
      <c r="F329" s="263"/>
      <c r="G329" s="39"/>
    </row>
    <row r="330" spans="1:7" s="44" customFormat="1" ht="27" x14ac:dyDescent="0.3">
      <c r="A330" s="41" t="s">
        <v>45</v>
      </c>
      <c r="B330" s="42">
        <v>4</v>
      </c>
      <c r="C330" s="135" t="str">
        <f xml:space="preserve"> IF(B330="","",setValueToTime(B330))</f>
        <v>0h20min</v>
      </c>
      <c r="D330" s="43" t="s">
        <v>145</v>
      </c>
      <c r="E330" s="258"/>
      <c r="F330" s="259"/>
      <c r="G330" s="3"/>
    </row>
    <row r="331" spans="1:7" s="44" customFormat="1" ht="27" x14ac:dyDescent="0.3">
      <c r="A331" s="45" t="s">
        <v>31</v>
      </c>
      <c r="B331" s="46">
        <v>25</v>
      </c>
      <c r="C331" s="136" t="str">
        <f t="shared" ref="C331:C339" si="29" xml:space="preserve"> IF(B331="","",setValueToTime(B331))</f>
        <v>2h5min</v>
      </c>
      <c r="D331" s="47" t="s">
        <v>146</v>
      </c>
      <c r="E331" s="250"/>
      <c r="F331" s="251"/>
      <c r="G331" s="3"/>
    </row>
    <row r="332" spans="1:7" s="44" customFormat="1" ht="27" x14ac:dyDescent="0.3">
      <c r="A332" s="45" t="s">
        <v>44</v>
      </c>
      <c r="B332" s="46">
        <v>1</v>
      </c>
      <c r="C332" s="136" t="str">
        <f t="shared" si="29"/>
        <v>0h5min</v>
      </c>
      <c r="D332" s="47" t="s">
        <v>147</v>
      </c>
      <c r="E332" s="250"/>
      <c r="F332" s="251"/>
      <c r="G332" s="3"/>
    </row>
    <row r="333" spans="1:7" s="44" customFormat="1" ht="58.5" customHeight="1" x14ac:dyDescent="0.3">
      <c r="A333" s="45" t="s">
        <v>89</v>
      </c>
      <c r="B333" s="46">
        <v>4</v>
      </c>
      <c r="C333" s="136" t="str">
        <f t="shared" si="29"/>
        <v>0h20min</v>
      </c>
      <c r="D333" s="47" t="s">
        <v>148</v>
      </c>
      <c r="E333" s="250" t="s">
        <v>160</v>
      </c>
      <c r="F333" s="251"/>
      <c r="G333" s="3"/>
    </row>
    <row r="334" spans="1:7" s="44" customFormat="1" x14ac:dyDescent="0.3">
      <c r="A334" s="46" t="s">
        <v>92</v>
      </c>
      <c r="B334" s="46">
        <v>4</v>
      </c>
      <c r="C334" s="137" t="str">
        <f t="shared" si="29"/>
        <v>0h20min</v>
      </c>
      <c r="D334" s="47" t="s">
        <v>151</v>
      </c>
      <c r="E334" s="250" t="s">
        <v>155</v>
      </c>
      <c r="F334" s="251"/>
      <c r="G334" s="3"/>
    </row>
    <row r="335" spans="1:7" s="44" customFormat="1" ht="27" x14ac:dyDescent="0.3">
      <c r="A335" s="46" t="s">
        <v>31</v>
      </c>
      <c r="B335" s="46">
        <v>4</v>
      </c>
      <c r="C335" s="137" t="str">
        <f t="shared" si="29"/>
        <v>0h20min</v>
      </c>
      <c r="D335" s="47" t="s">
        <v>152</v>
      </c>
      <c r="E335" s="250"/>
      <c r="F335" s="251"/>
      <c r="G335" s="3"/>
    </row>
    <row r="336" spans="1:7" s="44" customFormat="1" ht="27" x14ac:dyDescent="0.3">
      <c r="A336" s="46" t="s">
        <v>93</v>
      </c>
      <c r="B336" s="46">
        <v>4</v>
      </c>
      <c r="C336" s="137" t="str">
        <f t="shared" si="29"/>
        <v>0h20min</v>
      </c>
      <c r="D336" s="47" t="s">
        <v>157</v>
      </c>
      <c r="E336" s="250" t="s">
        <v>156</v>
      </c>
      <c r="F336" s="251"/>
      <c r="G336" s="3"/>
    </row>
    <row r="337" spans="1:7" s="44" customFormat="1" x14ac:dyDescent="0.3">
      <c r="A337" s="187" t="s">
        <v>89</v>
      </c>
      <c r="B337" s="187">
        <v>4</v>
      </c>
      <c r="C337" s="188"/>
      <c r="D337" s="203" t="s">
        <v>182</v>
      </c>
      <c r="E337" s="190"/>
      <c r="F337" s="191"/>
      <c r="G337" s="3"/>
    </row>
    <row r="338" spans="1:7" s="44" customFormat="1" x14ac:dyDescent="0.3">
      <c r="A338" s="187"/>
      <c r="B338" s="187"/>
      <c r="C338" s="188"/>
      <c r="D338" s="189"/>
      <c r="E338" s="190"/>
      <c r="F338" s="191"/>
      <c r="G338" s="3"/>
    </row>
    <row r="339" spans="1:7" s="44" customFormat="1" ht="15" thickBot="1" x14ac:dyDescent="0.35">
      <c r="A339" s="48"/>
      <c r="B339" s="48"/>
      <c r="C339" s="138" t="str">
        <f t="shared" si="29"/>
        <v/>
      </c>
      <c r="D339" s="49"/>
      <c r="E339" s="252"/>
      <c r="F339" s="253"/>
      <c r="G339" s="3"/>
    </row>
    <row r="340" spans="1:7" s="44" customFormat="1" ht="15" thickBot="1" x14ac:dyDescent="0.35">
      <c r="A340" s="145" t="s">
        <v>28</v>
      </c>
      <c r="B340" s="68">
        <f>SUM(B330:B339)</f>
        <v>50</v>
      </c>
      <c r="C340" s="145" t="str">
        <f xml:space="preserve"> setValueToTime(B340)</f>
        <v>4h10min</v>
      </c>
      <c r="D340" s="105" t="s">
        <v>172</v>
      </c>
      <c r="E340" s="260"/>
      <c r="F340" s="261"/>
      <c r="G340" s="3"/>
    </row>
    <row r="341" spans="1:7" s="44" customFormat="1" x14ac:dyDescent="0.3">
      <c r="A341" s="62"/>
      <c r="B341" s="62"/>
      <c r="C341" s="62"/>
      <c r="D341" s="62"/>
      <c r="E341" s="62"/>
      <c r="F341" s="62"/>
      <c r="G341" s="3"/>
    </row>
    <row r="342" spans="1:7" s="44" customFormat="1" x14ac:dyDescent="0.3"/>
    <row r="343" spans="1:7" s="44" customFormat="1" x14ac:dyDescent="0.3"/>
    <row r="344" spans="1:7" s="44" customFormat="1" x14ac:dyDescent="0.3"/>
    <row r="345" spans="1:7" s="44" customFormat="1" x14ac:dyDescent="0.3"/>
    <row r="346" spans="1:7" s="44" customFormat="1" x14ac:dyDescent="0.3"/>
    <row r="347" spans="1:7" s="44" customFormat="1" x14ac:dyDescent="0.3"/>
    <row r="348" spans="1:7" s="44" customFormat="1" x14ac:dyDescent="0.3"/>
    <row r="349" spans="1:7" s="44" customFormat="1" x14ac:dyDescent="0.3"/>
    <row r="350" spans="1:7" s="44" customFormat="1" x14ac:dyDescent="0.3"/>
    <row r="351" spans="1:7" s="44" customFormat="1" x14ac:dyDescent="0.3"/>
    <row r="352" spans="1:7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  <row r="367" s="44" customFormat="1" x14ac:dyDescent="0.3"/>
    <row r="368" s="44" customFormat="1" x14ac:dyDescent="0.3"/>
    <row r="369" s="44" customFormat="1" x14ac:dyDescent="0.3"/>
    <row r="370" s="44" customFormat="1" x14ac:dyDescent="0.3"/>
    <row r="371" s="44" customFormat="1" x14ac:dyDescent="0.3"/>
    <row r="372" s="44" customFormat="1" x14ac:dyDescent="0.3"/>
    <row r="373" s="44" customFormat="1" x14ac:dyDescent="0.3"/>
    <row r="374" s="44" customFormat="1" x14ac:dyDescent="0.3"/>
    <row r="375" s="44" customFormat="1" x14ac:dyDescent="0.3"/>
    <row r="376" s="44" customFormat="1" x14ac:dyDescent="0.3"/>
    <row r="377" s="44" customFormat="1" x14ac:dyDescent="0.3"/>
    <row r="378" s="44" customFormat="1" x14ac:dyDescent="0.3"/>
  </sheetData>
  <sheetProtection formatRows="0" insertRows="0" insertHyperlinks="0" deleteRows="0" selectLockedCells="1"/>
  <mergeCells count="282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40:F340"/>
    <mergeCell ref="E315:F315"/>
    <mergeCell ref="E316:F316"/>
    <mergeCell ref="E319:F319"/>
    <mergeCell ref="E320:F320"/>
    <mergeCell ref="E321:F321"/>
    <mergeCell ref="E322:F322"/>
    <mergeCell ref="E323:F323"/>
    <mergeCell ref="E324:F324"/>
    <mergeCell ref="E325:F325"/>
    <mergeCell ref="E326:F326"/>
    <mergeCell ref="E329:F329"/>
    <mergeCell ref="E330:F330"/>
    <mergeCell ref="E331:F331"/>
    <mergeCell ref="E332:F332"/>
    <mergeCell ref="E333:F333"/>
    <mergeCell ref="E334:F334"/>
    <mergeCell ref="E335:F335"/>
    <mergeCell ref="E336:F336"/>
    <mergeCell ref="E339:F339"/>
    <mergeCell ref="E317:F317"/>
    <mergeCell ref="E318:F318"/>
  </mergeCells>
  <phoneticPr fontId="0" type="noConversion"/>
  <conditionalFormatting sqref="B340">
    <cfRule type="cellIs" dxfId="29" priority="32" operator="greaterThan">
      <formula>60</formula>
    </cfRule>
  </conditionalFormatting>
  <conditionalFormatting sqref="B326">
    <cfRule type="cellIs" dxfId="28" priority="31" operator="greaterThan">
      <formula>60</formula>
    </cfRule>
  </conditionalFormatting>
  <conditionalFormatting sqref="B312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1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30:B339 B316:B325 B304:B311 B292:B299 B280:B287 B268:B275 B16:B23 B244:B251 B232:B239 B220:B227 B208:B215 B196:B203 B184:B191 B172:B179 B160:B167 B148:B155 B136:B143 B124:B131 B112:B119 B100:B107 B88:B95 B76:B83 B64:B71 B52:B59 B40:B47 B28:B35 B256:B26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40 B326 B312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30:A339 A316:A325 A304:A311 A292:A299 A280:A287 A268:A275 A16:A23 A244:A251 A232:A239 A220:A227 A208:A215 A196:A203 A184:A191 A172:A179 A160:A167 A148:A155 A136:A143 A124:A131 A112:A119 A100:A107 A88:A95 A76:A83 A64:A71 A52:A59 A40:A47 A28:A35 A256:A263 A4:A11" xr:uid="{84584ED4-6595-4934-96BF-FC1EEEE7C31A}">
      <formula1>ListeTaches</formula1>
    </dataValidation>
  </dataValidations>
  <hyperlinks>
    <hyperlink ref="E317" r:id="rId1" xr:uid="{1CD9E0DF-DF8F-4DEA-A392-EB84736395C3}"/>
    <hyperlink ref="E318" r:id="rId2" xr:uid="{CD68AA17-ACEE-42A2-94DE-2EAD55E2192D}"/>
    <hyperlink ref="E295" r:id="rId3" xr:uid="{AB6FEFCF-9AF1-4B92-9018-C2055B6EED6E}"/>
    <hyperlink ref="E296" r:id="rId4" xr:uid="{2E357702-494D-4646-A79B-CFB27677EB88}"/>
    <hyperlink ref="E280" r:id="rId5" location="p=display&amp;f=Graffiti&amp;t=Type%20Something%20" xr:uid="{01FEBF68-B50D-4799-ABD0-B4B9F46DC4E7}"/>
    <hyperlink ref="E283" r:id="rId6" display="https://youtubetowav.com/" xr:uid="{CEB1D811-C314-4900-BA42-94117A6F4F2D}"/>
    <hyperlink ref="E258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4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85" max="5" man="1"/>
    <brk id="157" max="5" man="1"/>
    <brk id="217" max="5" man="1"/>
  </rowBreaks>
  <drawing r:id="rId9"/>
  <legacyDrawing r:id="rId10"/>
  <controls>
    <mc:AlternateContent xmlns:mc="http://schemas.openxmlformats.org/markup-compatibility/2006">
      <mc:Choice Requires="x14">
        <control shapeId="9224" r:id="rId11" name="btnRapatriementJournal">
          <controlPr defaultSize="0" autoLine="0" r:id="rId12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1" name="btnRapatriementJournal"/>
      </mc:Fallback>
    </mc:AlternateContent>
    <mc:AlternateContent xmlns:mc="http://schemas.openxmlformats.org/markup-compatibility/2006">
      <mc:Choice Requires="x14">
        <control shapeId="9220" r:id="rId13" name="btnAjoutSeqJournal">
          <controlPr defaultSize="0" autoLine="0" r:id="rId14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3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5"/>
    </row>
    <row r="11" spans="1:61" ht="18" x14ac:dyDescent="0.25">
      <c r="A11" s="219"/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75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5"/>
    </row>
    <row r="13" spans="1:61" ht="18.75" thickBot="1" x14ac:dyDescent="0.3">
      <c r="A13" s="221" t="s">
        <v>11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3"/>
      <c r="BI13" s="75"/>
    </row>
    <row r="14" spans="1:61" ht="15.75" thickBot="1" x14ac:dyDescent="0.35">
      <c r="A14" s="87"/>
      <c r="B14" s="88"/>
      <c r="C14" s="88"/>
      <c r="D14" s="88"/>
      <c r="E14" s="224" t="s">
        <v>34</v>
      </c>
      <c r="F14" s="224"/>
      <c r="G14" s="224"/>
      <c r="H14" s="224"/>
      <c r="I14" s="88"/>
      <c r="J14" s="88"/>
      <c r="K14" s="225" t="s">
        <v>23</v>
      </c>
      <c r="L14" s="225"/>
      <c r="M14" s="225"/>
      <c r="N14" s="225"/>
      <c r="O14" s="112"/>
      <c r="P14" s="112"/>
      <c r="Q14" s="224" t="s">
        <v>35</v>
      </c>
      <c r="R14" s="224"/>
      <c r="S14" s="224"/>
      <c r="T14" s="224"/>
      <c r="U14" s="88"/>
      <c r="V14" s="88"/>
      <c r="W14" s="225" t="s">
        <v>24</v>
      </c>
      <c r="X14" s="225"/>
      <c r="Y14" s="225"/>
      <c r="Z14" s="225"/>
      <c r="AA14" s="112"/>
      <c r="AB14" s="112"/>
      <c r="AC14" s="224" t="s">
        <v>36</v>
      </c>
      <c r="AD14" s="224"/>
      <c r="AE14" s="224"/>
      <c r="AF14" s="224"/>
      <c r="AG14" s="88"/>
      <c r="AH14" s="88"/>
      <c r="AI14" s="225" t="s">
        <v>25</v>
      </c>
      <c r="AJ14" s="225"/>
      <c r="AK14" s="225"/>
      <c r="AL14" s="225"/>
      <c r="AM14" s="112"/>
      <c r="AN14" s="112"/>
      <c r="AO14" s="224" t="s">
        <v>37</v>
      </c>
      <c r="AP14" s="224"/>
      <c r="AQ14" s="224"/>
      <c r="AR14" s="224"/>
      <c r="AS14" s="88"/>
      <c r="AT14" s="88"/>
      <c r="AU14" s="225" t="s">
        <v>26</v>
      </c>
      <c r="AV14" s="225"/>
      <c r="AW14" s="225"/>
      <c r="AX14" s="225"/>
      <c r="AY14" s="112"/>
      <c r="AZ14" s="112"/>
      <c r="BA14" s="224" t="s">
        <v>38</v>
      </c>
      <c r="BB14" s="224"/>
      <c r="BC14" s="224"/>
      <c r="BD14" s="224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6" t="s">
        <v>13</v>
      </c>
      <c r="F2" s="25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8"/>
      <c r="F3" s="25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0"/>
      <c r="F4" s="25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0"/>
      <c r="F5" s="25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0"/>
      <c r="F6" s="25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2"/>
      <c r="F10" s="253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4"/>
      <c r="F11" s="255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2" t="s">
        <v>13</v>
      </c>
      <c r="F2" s="26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8"/>
      <c r="F3" s="25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0"/>
      <c r="F4" s="25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0"/>
      <c r="F5" s="25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0"/>
      <c r="F6" s="25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2"/>
      <c r="F10" s="253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60"/>
      <c r="F11" s="261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2024-05-22T14:27:21Z</cp:lastPrinted>
  <dcterms:created xsi:type="dcterms:W3CDTF">1996-10-21T11:03:58Z</dcterms:created>
  <dcterms:modified xsi:type="dcterms:W3CDTF">2024-05-23T14:27:54Z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