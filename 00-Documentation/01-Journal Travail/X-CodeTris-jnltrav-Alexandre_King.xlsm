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BC936A3E-68F2-44F9-963F-56CCCC47AF1C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Journal!$A$1:$F$336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9" i="12" l="1"/>
  <c r="C310" i="12"/>
  <c r="C311" i="12"/>
  <c r="C312" i="12"/>
  <c r="C313" i="12"/>
  <c r="C91" i="10"/>
  <c r="B12" i="12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C165" i="10"/>
  <c r="C166" i="10"/>
  <c r="C186" i="10"/>
  <c r="C211" i="10"/>
  <c r="C212" i="10"/>
  <c r="C213" i="10"/>
  <c r="C214" i="10"/>
  <c r="C215" i="10"/>
  <c r="C233" i="10"/>
  <c r="C234" i="10"/>
  <c r="C235" i="10"/>
  <c r="C236" i="10"/>
  <c r="C237" i="10"/>
  <c r="C238" i="10"/>
  <c r="C239" i="10"/>
  <c r="C258" i="10"/>
  <c r="C259" i="10"/>
  <c r="C260" i="10"/>
  <c r="C261" i="10"/>
  <c r="C262" i="10"/>
  <c r="C263" i="10"/>
  <c r="C293" i="10"/>
  <c r="C294" i="10"/>
  <c r="C295" i="10"/>
  <c r="C296" i="10"/>
  <c r="C297" i="10"/>
  <c r="C298" i="10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B48" i="10"/>
  <c r="C47" i="10"/>
  <c r="C46" i="10"/>
  <c r="C45" i="10"/>
  <c r="C44" i="10"/>
  <c r="C43" i="10"/>
  <c r="C42" i="10"/>
  <c r="C41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C151" i="10"/>
  <c r="C200" i="10"/>
  <c r="C201" i="10"/>
  <c r="C224" i="10"/>
  <c r="C225" i="10"/>
  <c r="C248" i="10"/>
  <c r="C249" i="10"/>
  <c r="C272" i="10"/>
  <c r="C273" i="10"/>
  <c r="C283" i="10"/>
  <c r="C284" i="10"/>
  <c r="C285" i="10"/>
  <c r="C308" i="10"/>
  <c r="C309" i="10"/>
  <c r="C310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B216" i="12"/>
  <c r="C215" i="12"/>
  <c r="C214" i="12"/>
  <c r="C213" i="12"/>
  <c r="C212" i="12"/>
  <c r="C211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C234" i="12"/>
  <c r="B252" i="12"/>
  <c r="C251" i="12"/>
  <c r="C250" i="12"/>
  <c r="B264" i="12"/>
  <c r="C263" i="12"/>
  <c r="C262" i="12"/>
  <c r="C261" i="12"/>
  <c r="C260" i="12"/>
  <c r="C259" i="12"/>
  <c r="B276" i="12"/>
  <c r="C275" i="12"/>
  <c r="B288" i="12"/>
  <c r="C287" i="12"/>
  <c r="C286" i="12"/>
  <c r="B300" i="12"/>
  <c r="C299" i="12"/>
  <c r="C298" i="12"/>
  <c r="C297" i="12"/>
  <c r="C296" i="12"/>
  <c r="C295" i="12"/>
  <c r="C294" i="12"/>
  <c r="C293" i="12"/>
  <c r="B314" i="12"/>
  <c r="B328" i="12"/>
  <c r="B120" i="10"/>
  <c r="C119" i="10"/>
  <c r="C118" i="10"/>
  <c r="B132" i="10"/>
  <c r="C131" i="10"/>
  <c r="C130" i="10"/>
  <c r="B144" i="10"/>
  <c r="C143" i="10"/>
  <c r="C142" i="10"/>
  <c r="B156" i="10"/>
  <c r="C155" i="10"/>
  <c r="B168" i="10"/>
  <c r="C167" i="10"/>
  <c r="B180" i="10"/>
  <c r="C179" i="10"/>
  <c r="B192" i="10"/>
  <c r="C191" i="10"/>
  <c r="C190" i="10"/>
  <c r="B204" i="10"/>
  <c r="C203" i="10"/>
  <c r="C202" i="10"/>
  <c r="B216" i="10"/>
  <c r="B228" i="10"/>
  <c r="C227" i="10"/>
  <c r="C226" i="10"/>
  <c r="B240" i="10"/>
  <c r="B252" i="10"/>
  <c r="C251" i="10"/>
  <c r="C250" i="10"/>
  <c r="B37" i="1"/>
  <c r="B264" i="10"/>
  <c r="B276" i="10"/>
  <c r="C275" i="10"/>
  <c r="C274" i="10"/>
  <c r="B288" i="10"/>
  <c r="C287" i="10"/>
  <c r="C286" i="10"/>
  <c r="B300" i="10"/>
  <c r="C299" i="10"/>
  <c r="B312" i="10"/>
  <c r="B326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11" i="10"/>
  <c r="C325" i="10"/>
  <c r="C199" i="10"/>
  <c r="C210" i="10"/>
  <c r="C327" i="12"/>
  <c r="C60" i="10"/>
  <c r="C184" i="10"/>
  <c r="C246" i="10"/>
  <c r="C137" i="10"/>
  <c r="C6" i="10"/>
  <c r="C256" i="10"/>
  <c r="C16" i="10"/>
  <c r="C161" i="10"/>
  <c r="C306" i="10"/>
  <c r="C245" i="10"/>
  <c r="C17" i="10"/>
  <c r="C4" i="10"/>
  <c r="C112" i="10"/>
  <c r="C173" i="10"/>
  <c r="C100" i="10"/>
  <c r="C64" i="10"/>
  <c r="C209" i="10"/>
  <c r="C276" i="10"/>
  <c r="C319" i="10"/>
  <c r="C232" i="10"/>
  <c r="C29" i="10"/>
  <c r="C96" i="10"/>
  <c r="C72" i="10"/>
  <c r="C77" i="10"/>
  <c r="C197" i="10"/>
  <c r="C196" i="10"/>
  <c r="C149" i="10"/>
  <c r="C11" i="15"/>
  <c r="C31" i="10"/>
  <c r="C54" i="10"/>
  <c r="C48" i="10"/>
  <c r="C156" i="10"/>
  <c r="C139" i="10"/>
  <c r="C185" i="10"/>
  <c r="C223" i="10"/>
  <c r="C282" i="10"/>
  <c r="C321" i="10"/>
  <c r="C264" i="10"/>
  <c r="C52" i="10"/>
  <c r="C114" i="10"/>
  <c r="C300" i="10"/>
  <c r="C204" i="10"/>
  <c r="C281" i="10"/>
  <c r="C12" i="10"/>
  <c r="C220" i="10"/>
  <c r="C132" i="10"/>
  <c r="C221" i="10"/>
  <c r="C240" i="10"/>
  <c r="C148" i="10"/>
  <c r="C198" i="10"/>
  <c r="C84" i="10"/>
  <c r="C216" i="10"/>
  <c r="C126" i="10"/>
  <c r="C120" i="10"/>
  <c r="C320" i="10"/>
  <c r="C252" i="10"/>
  <c r="C222" i="10"/>
  <c r="C269" i="10"/>
  <c r="C40" i="10"/>
  <c r="C160" i="10"/>
  <c r="C208" i="10"/>
  <c r="C136" i="10"/>
  <c r="C144" i="10"/>
  <c r="C150" i="10"/>
  <c r="C113" i="10"/>
  <c r="C244" i="10"/>
  <c r="C228" i="10"/>
  <c r="C268" i="10"/>
  <c r="C270" i="10"/>
  <c r="C175" i="10"/>
  <c r="C192" i="10"/>
  <c r="C292" i="10"/>
  <c r="C65" i="10"/>
  <c r="C76" i="10"/>
  <c r="C11" i="16"/>
  <c r="C280" i="10"/>
  <c r="C312" i="10"/>
  <c r="C90" i="10"/>
  <c r="C5" i="10"/>
  <c r="C138" i="10"/>
  <c r="C305" i="10"/>
  <c r="C257" i="10"/>
  <c r="C36" i="10"/>
  <c r="C168" i="10"/>
  <c r="C271" i="10"/>
  <c r="C124" i="10"/>
  <c r="C326" i="10"/>
  <c r="C88" i="10"/>
  <c r="C108" i="10"/>
  <c r="C304" i="10"/>
  <c r="C24" i="10"/>
  <c r="C318" i="10"/>
  <c r="C288" i="10"/>
  <c r="C172" i="10"/>
  <c r="C247" i="10"/>
  <c r="C30" i="10"/>
  <c r="C89" i="10"/>
  <c r="C53" i="10"/>
  <c r="C174" i="10"/>
  <c r="C28" i="10"/>
  <c r="C125" i="10"/>
  <c r="C307" i="10"/>
  <c r="C180" i="10"/>
  <c r="C317" i="10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E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198" i="12"/>
  <c r="C197" i="12"/>
  <c r="C300" i="12"/>
  <c r="C256" i="12"/>
  <c r="C283" i="12"/>
  <c r="C192" i="12"/>
  <c r="C108" i="12"/>
  <c r="C292" i="12"/>
  <c r="C258" i="12"/>
  <c r="C324" i="12"/>
  <c r="C24" i="12"/>
  <c r="C281" i="12"/>
  <c r="C257" i="12"/>
  <c r="C96" i="12"/>
  <c r="C280" i="12"/>
  <c r="C264" i="12"/>
  <c r="C284" i="12"/>
  <c r="C328" i="12"/>
  <c r="C314" i="12"/>
  <c r="C274" i="12"/>
  <c r="C244" i="12"/>
  <c r="C221" i="12"/>
  <c r="C321" i="12"/>
  <c r="C156" i="12"/>
  <c r="C273" i="12"/>
  <c r="C249" i="12"/>
  <c r="C232" i="12"/>
  <c r="C120" i="12"/>
  <c r="C84" i="12"/>
  <c r="C272" i="12"/>
  <c r="C248" i="12"/>
  <c r="C233" i="12"/>
  <c r="C323" i="12"/>
  <c r="C307" i="12"/>
  <c r="C180" i="12"/>
  <c r="C36" i="12"/>
  <c r="C168" i="12"/>
  <c r="C308" i="12"/>
  <c r="C271" i="12"/>
  <c r="C246" i="12"/>
  <c r="C240" i="12"/>
  <c r="C318" i="12"/>
  <c r="C132" i="12"/>
  <c r="C304" i="12"/>
  <c r="C306" i="12"/>
  <c r="C270" i="12"/>
  <c r="C252" i="12"/>
  <c r="C209" i="12"/>
  <c r="C72" i="12"/>
  <c r="C269" i="12"/>
  <c r="C247" i="12"/>
  <c r="C208" i="12"/>
  <c r="C220" i="12"/>
  <c r="C144" i="12"/>
  <c r="C268" i="12"/>
  <c r="C228" i="12"/>
  <c r="C319" i="12"/>
  <c r="C322" i="12"/>
  <c r="C276" i="12"/>
  <c r="C305" i="12"/>
  <c r="C12" i="12"/>
  <c r="C282" i="12"/>
  <c r="C320" i="12"/>
  <c r="C60" i="12"/>
  <c r="C285" i="12"/>
  <c r="C288" i="12"/>
  <c r="C48" i="12"/>
  <c r="C222" i="12"/>
  <c r="C245" i="12"/>
  <c r="C196" i="12"/>
  <c r="C204" i="12"/>
  <c r="C216" i="12"/>
  <c r="C210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<sst xmlns="http://schemas.openxmlformats.org/spreadsheetml/2006/main" count="1246" uniqueCount="228">
  <si>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</si>
  <si>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</si>
  <si>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</si>
  <si>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</si>
  <si>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</si>
  <si>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</si>
  <si>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</si>
  <si>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</si>
  <si>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</si>
  <si>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</si>
  <si>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</si>
  <si>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</si>
  <si>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</si>
  <si>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</si>
  <si>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</si>
  <si>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</si>
  <si>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</si>
  <si>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</si>
  <si>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</si>
  <si>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</si>
  <si>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</si>
  <si>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</si>
  <si>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</si>
  <si>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</si>
  <si>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</si>
  <si>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</si>
  <si>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</si>
  <si>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</si>
  <si>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</si>
  <si>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</si>
  <si>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</si>
  <si>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</si>
  <si>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</si>
  <si>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</si>
  <si>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</si>
  <si>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</si>
  <si>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</si>
  <si>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</si>
  <si>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</si>
  <si>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</si>
  <si>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</si>
  <si>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</si>
  <si>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</si>
  <si>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</si>
  <si>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</si>
  <si>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</si>
  <si>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</si>
  <si>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</si>
  <si>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</si>
  <si>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</si>
  <si>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</si>
  <si>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</si>
  <si>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</si>
  <si>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</si>
  <si>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</si>
  <si>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</si>
  <si>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</si>
  <si>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</si>
  <si>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</si>
  <si>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</si>
  <si>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</si>
  <si>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</si>
  <si>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</si>
  <si>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</si>
  <si>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</si>
  <si>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</si>
  <si>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</si>
  <si>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</si>
  <si>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</si>
  <si>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</si>
  <si>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</si>
  <si>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</si>
  <si>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</si>
  <si>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</si>
  <si>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</si>
  <si>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</si>
  <si>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</si>
  <si>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</si>
  <si>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</si>
  <si>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</si>
  <si>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</si>
  <si>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</si>
  <si>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</si>
  <si>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</si>
  <si>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</si>
  <si>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</si>
  <si>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</si>
  <si>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</si>
  <si>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</si>
  <si>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</si>
  <si>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</si>
  <si>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</si>
  <si>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</si>
  <si>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</si>
  <si>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</si>
  <si>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</si>
  <si>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</si>
  <si>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</si>
  <si>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</si>
  <si>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</si>
  <si>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</si>
  <si>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</si>
  <si>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</si>
  <si>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</si>
  <si>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</si>
  <si>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</si>
  <si>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</si>
  <si>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</si>
  <si>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</si>
  <si>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</si>
  <si>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</si>
  <si>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</si>
  <si>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</si>
  <si>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</si>
  <si>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</si>
  <si>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</si>
  <si>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</si>
  <si>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</si>
  <si>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</si>
  <si>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</si>
  <si>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</si>
  <si>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</si>
  <si>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</si>
  <si>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</si>
  <si>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</si>
  <si>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</si>
  <si>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</si>
  <si>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</si>
  <si>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</si>
  <si>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</si>
  <si>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</si>
  <si>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</si>
  <si>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Séquence 30</t>
  </si>
  <si>
    <t>lundi, 27 mai 2024</t>
  </si>
  <si>
    <t>Séquence 29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</si>
  <si>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</si>
  <si>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</si>
  <si>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</si>
  <si>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</si>
  <si>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</si>
  <si>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</si>
  <si>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</si>
  <si>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</si>
  <si>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</si>
  <si>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</si>
  <si>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</si>
  <si>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</si>
  <si>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</si>
  <si>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</si>
  <si>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</si>
  <si>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</si>
  <si>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</si>
  <si>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</si>
  <si>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</si>
  <si>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</si>
  <si>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</si>
  <si>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</si>
  <si>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</si>
  <si>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</si>
  <si>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</si>
  <si>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</si>
  <si>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</si>
  <si>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</si>
  <si>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</si>
  <si>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</si>
  <si>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</si>
  <si>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</si>
  <si>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</si>
  <si>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</si>
  <si>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</si>
  <si>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</si>
  <si>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</si>
  <si>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</si>
  <si>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</si>
  <si>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</si>
  <si>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</si>
  <si>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</si>
  <si>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</si>
  <si>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</si>
  <si>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</si>
  <si>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</si>
  <si>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</si>
  <si>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</si>
  <si>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</si>
  <si>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</si>
  <si>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</si>
  <si>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</si>
  <si>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</si>
  <si>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</si>
  <si>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89h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</si>
  <si>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</si>
  <si>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</si>
  <si>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</si>
  <si>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</si>
  <si>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</si>
  <si>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</si>
  <si>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</si>
  <si>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</si>
  <si>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</si>
  <si>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</si>
  <si>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</si>
  <si>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Mise é jour de la partie analyse et conception du rapport + quelques endroits (images, notes dans la partie réalisation)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</si>
  <si>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</si>
  <si>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</si>
  <si>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</si>
  <si>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</si>
  <si>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</si>
  <si>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</si>
  <si>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</si>
  <si>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</si>
  <si>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</si>
  <si>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</si>
  <si>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</si>
  <si>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</si>
  <si>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</si>
  <si>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</si>
  <si>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</si>
  <si>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Gestion des collisions + réécriture du code qui affiche les pièces</t>
  </si>
  <si>
    <t>Ajout d'un screen dans le rapport</t>
  </si>
  <si>
    <t>Discussion avec la CDP + aide de sa part pour de la logique sur le code (collision des tetriminos)</t>
  </si>
  <si>
    <t>Collision des pièces</t>
  </si>
  <si>
    <t>Correction de bug concernant la vitesse de descente des tetriminos</t>
  </si>
  <si>
    <t>Mail à Monsieur Borboën</t>
  </si>
  <si>
    <t>30h10min</t>
  </si>
  <si>
    <t>- 58h50min</t>
  </si>
  <si>
    <t>Ajout dans le rapport, avancement de la partie analyse et conception</t>
  </si>
  <si>
    <t>Ajout dans le rapport, avancement de la partie analyse et conception ainsi que du début du rapport (résumer</t>
  </si>
  <si>
    <t>Ajout de commentaire dans le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</si>
</sst>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0" fillId="0" borderId="33" xfId="0" applyFont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2.4200000762939453</c:v>
              </c:pt>
              <c:pt idx="17">
                <c:v>20.5</c:v>
              </c:pt>
              <c:pt idx="18">
                <c:v>4.5</c:v>
              </c:pt>
              <c:pt idx="19">
                <c:v>3.6700000762939453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</c:v>
              </c:pt>
              <c:pt idx="4">
                <c:v>0.67000001668930054</c:v>
              </c:pt>
              <c:pt idx="5">
                <c:v>1</c:v>
              </c:pt>
              <c:pt idx="6">
                <c:v>0.33000001311302185</c:v>
              </c:pt>
              <c:pt idx="7">
                <c:v>0.5</c:v>
              </c:pt>
              <c:pt idx="8">
                <c:v>2.9200000762939453</c:v>
              </c:pt>
              <c:pt idx="9">
                <c:v>1.6699999570846558</c:v>
              </c:pt>
              <c:pt idx="10">
                <c:v>0.82999998331069946</c:v>
              </c:pt>
              <c:pt idx="11">
                <c:v>12.579999923706055</c:v>
              </c:pt>
              <c:pt idx="12">
                <c:v>0</c:v>
              </c:pt>
              <c:pt idx="13">
                <c:v>0</c:v>
              </c:pt>
              <c:pt idx="14">
                <c:v>0.41999998688697815</c:v>
              </c:pt>
              <c:pt idx="15">
                <c:v>0</c:v>
              </c:pt>
              <c:pt idx="16">
                <c:v>0.41999998688697815</c:v>
              </c:pt>
              <c:pt idx="17">
                <c:v>0.75</c:v>
              </c:pt>
              <c:pt idx="18">
                <c:v>0</c:v>
              </c:pt>
              <c:pt idx="19">
                <c:v>0</c:v>
              </c:pt>
              <c:pt idx="20">
                <c:v>2.25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161925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view="pageBreakPreview" zoomScaleNormal="100" zoomScaleSheetLayoutView="100" workbookViewId="0">
      <selection activeCell="G39" sqref="G3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5" t="s">
        <v>32</v>
      </c>
      <c r="C35" s="215"/>
      <c r="D35" s="215"/>
      <c r="E35" s="91" t="s">
        <v>189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6" t="s">
        <v>33</v>
      </c>
      <c r="C37" s="216"/>
      <c r="D37" s="216"/>
      <c r="E37" s="93" t="s">
        <v>223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224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QK99"/>
  <sheetViews>
    <sheetView showGridLines="0" view="pageBreakPreview" topLeftCell="A13" zoomScale="55" zoomScaleNormal="70" zoomScaleSheetLayoutView="55" workbookViewId="0">
      <selection activeCell="HI30" sqref="HI30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805" width="1.140625" style="2" customWidth="1"/>
    <col min="1806" max="16384" width="11.42578125" style="2"/>
  </cols>
  <sheetData>
    <row r="1" spans="1:1805" ht="35.1" customHeight="1" x14ac:dyDescent="0.25">
      <c r="B1" s="80"/>
      <c r="C1" s="225" t="s">
        <v>30</v>
      </c>
      <c r="D1" s="225"/>
      <c r="E1" s="22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</row>
    <row r="2" spans="1:180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</row>
    <row r="3" spans="1:1805" ht="30" customHeight="1" x14ac:dyDescent="0.25">
      <c r="B3" s="53"/>
      <c r="C3" s="5" t="s">
        <v>0</v>
      </c>
      <c r="D3" s="123"/>
      <c r="E3" s="6" t="s">
        <v>188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</row>
    <row r="4" spans="1:180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</row>
    <row r="5" spans="1:180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</row>
    <row r="6" spans="1:180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</row>
    <row r="7" spans="1:1805" ht="20.100000000000001" customHeight="1" thickBot="1" x14ac:dyDescent="0.3">
      <c r="B7" s="53"/>
      <c r="C7" s="226"/>
      <c r="D7" s="226"/>
      <c r="E7" s="226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</row>
    <row r="8" spans="1:1805" ht="30" customHeight="1" x14ac:dyDescent="0.25">
      <c r="B8" s="53"/>
      <c r="C8" s="5" t="s">
        <v>3</v>
      </c>
      <c r="D8" s="123"/>
      <c r="E8" s="6" t="s">
        <v>187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</row>
    <row r="9" spans="1:1805" ht="30" customHeight="1" x14ac:dyDescent="0.25">
      <c r="B9" s="53"/>
      <c r="C9" s="9" t="s">
        <v>17</v>
      </c>
      <c r="D9" s="124"/>
      <c r="E9" s="10" t="s">
        <v>21</v>
      </c>
      <c r="F9" s="11"/>
      <c r="G9" s="227" t="str">
        <f>E70</f>
        <v>89h</v>
      </c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103"/>
      <c r="W9" s="236" t="s">
        <v>22</v>
      </c>
      <c r="X9" s="236"/>
      <c r="Y9" s="236"/>
      <c r="Z9" s="236"/>
      <c r="AA9" s="236"/>
      <c r="AB9" s="236"/>
      <c r="AC9" s="236"/>
      <c r="AD9" s="236"/>
      <c r="AE9" s="236"/>
      <c r="AF9" s="236"/>
      <c r="AG9" s="236"/>
      <c r="AH9" s="227" t="str">
        <f>E72</f>
        <v>30h10min</v>
      </c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</row>
    <row r="10" spans="1:180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77"/>
      <c r="CR10" s="217"/>
      <c r="CS10" s="217"/>
      <c r="CT10" s="217"/>
      <c r="CU10" s="217"/>
      <c r="CV10" s="217"/>
      <c r="CW10" s="217"/>
      <c r="CX10" s="217"/>
      <c r="CY10" s="217"/>
      <c r="CZ10" s="217"/>
      <c r="DA10" s="217"/>
      <c r="DB10" s="217"/>
      <c r="DC10" s="217"/>
      <c r="DD10" s="217"/>
      <c r="DE10" s="217"/>
      <c r="DF10" s="217"/>
      <c r="DG10" s="217"/>
      <c r="DH10" s="217"/>
      <c r="DI10" s="217"/>
      <c r="DJ10" s="217"/>
      <c r="DK10" s="217"/>
      <c r="DL10" s="217"/>
      <c r="DM10" s="217"/>
      <c r="DN10" s="217"/>
      <c r="DO10" s="217"/>
      <c r="DP10" s="217"/>
      <c r="DQ10" s="217"/>
      <c r="DR10" s="217"/>
      <c r="DS10" s="217"/>
      <c r="DT10" s="217"/>
      <c r="DU10" s="217"/>
      <c r="DV10" s="217"/>
      <c r="DW10" s="217"/>
      <c r="DX10" s="217"/>
      <c r="DY10" s="217"/>
      <c r="DZ10" s="217"/>
      <c r="EA10" s="217"/>
      <c r="EB10" s="217"/>
      <c r="EC10" s="217"/>
      <c r="ED10" s="217"/>
      <c r="EE10" s="217"/>
      <c r="EF10" s="217"/>
      <c r="EG10" s="217"/>
      <c r="EH10" s="217"/>
      <c r="EI10" s="217"/>
      <c r="EJ10" s="217"/>
      <c r="EK10" s="217"/>
      <c r="EL10" s="217"/>
      <c r="EM10" s="217"/>
      <c r="EN10" s="217"/>
      <c r="EO10" s="217"/>
      <c r="EP10" s="217"/>
      <c r="EQ10" s="217"/>
      <c r="ER10" s="217"/>
      <c r="ES10" s="217"/>
      <c r="ET10" s="217"/>
      <c r="EU10" s="217"/>
      <c r="EV10" s="217"/>
      <c r="EW10" s="217"/>
      <c r="EX10" s="217"/>
      <c r="EY10" s="217"/>
      <c r="EZ10" s="217"/>
      <c r="FA10" s="217"/>
      <c r="FB10" s="217"/>
      <c r="FC10" s="217"/>
      <c r="FD10" s="217"/>
      <c r="FE10" s="217"/>
      <c r="FF10" s="217"/>
      <c r="FG10" s="217"/>
      <c r="FH10" s="217"/>
      <c r="FI10" s="217"/>
      <c r="FJ10" s="217"/>
      <c r="FK10" s="217"/>
      <c r="FL10" s="217"/>
      <c r="FM10" s="217"/>
      <c r="FN10" s="217"/>
      <c r="FO10" s="217"/>
      <c r="FP10" s="217"/>
      <c r="FQ10" s="217"/>
      <c r="FR10" s="217"/>
      <c r="FS10" s="217"/>
      <c r="FT10" s="217"/>
      <c r="FU10" s="217"/>
      <c r="FV10" s="217"/>
      <c r="FW10" s="217"/>
      <c r="FX10" s="217"/>
      <c r="FY10" s="217"/>
      <c r="FZ10" s="217"/>
      <c r="GA10" s="217"/>
      <c r="GB10" s="217"/>
      <c r="GC10" s="217"/>
      <c r="GD10" s="217"/>
      <c r="GE10" s="217"/>
      <c r="GF10" s="217"/>
      <c r="GG10" s="217"/>
      <c r="GH10" s="217"/>
      <c r="GI10" s="217"/>
      <c r="GJ10" s="217"/>
      <c r="GK10" s="217"/>
      <c r="GL10" s="217"/>
      <c r="GM10" s="217"/>
      <c r="GN10" s="217"/>
      <c r="GO10" s="217"/>
      <c r="GP10" s="217"/>
      <c r="GQ10" s="217"/>
      <c r="GR10" s="217"/>
      <c r="GS10" s="217"/>
      <c r="GT10" s="217"/>
      <c r="GU10" s="217"/>
      <c r="GV10" s="217"/>
      <c r="GW10" s="217"/>
      <c r="GX10" s="217"/>
      <c r="GY10" s="217"/>
      <c r="GZ10" s="217"/>
      <c r="HA10" s="217"/>
      <c r="HB10" s="217"/>
      <c r="HC10" s="217"/>
      <c r="HD10" s="217"/>
      <c r="HE10" s="217"/>
      <c r="HF10" s="217"/>
      <c r="HG10" s="217"/>
      <c r="HH10" s="217"/>
      <c r="HI10" s="217"/>
      <c r="HJ10" s="217"/>
      <c r="HK10" s="217"/>
      <c r="HL10" s="217"/>
      <c r="HM10" s="217"/>
      <c r="HN10" s="217"/>
      <c r="HO10" s="217"/>
      <c r="HP10" s="217"/>
      <c r="HQ10" s="217"/>
      <c r="HR10" s="217"/>
      <c r="HS10" s="217"/>
      <c r="HT10" s="217"/>
      <c r="HU10" s="217"/>
      <c r="HV10" s="217"/>
      <c r="HW10" s="217"/>
      <c r="HX10" s="217"/>
      <c r="HY10" s="217"/>
      <c r="HZ10" s="217"/>
      <c r="IA10" s="217"/>
      <c r="IB10" s="217"/>
      <c r="IC10" s="217"/>
      <c r="ID10" s="217"/>
      <c r="IE10" s="217"/>
      <c r="IF10" s="217"/>
      <c r="IG10" s="217"/>
      <c r="IH10" s="217"/>
      <c r="II10" s="217"/>
      <c r="IJ10" s="217"/>
      <c r="IK10" s="217"/>
      <c r="IL10" s="217"/>
      <c r="IM10" s="217"/>
      <c r="IN10" s="217"/>
      <c r="IO10" s="217"/>
      <c r="IP10" s="217"/>
      <c r="IQ10" s="217"/>
      <c r="IR10" s="217"/>
      <c r="IS10" s="217"/>
      <c r="IT10" s="217"/>
      <c r="IU10" s="217"/>
      <c r="IV10" s="217"/>
      <c r="IW10" s="217"/>
      <c r="IX10" s="217"/>
      <c r="IY10" s="217"/>
      <c r="IZ10" s="217"/>
      <c r="JA10" s="217"/>
      <c r="JB10" s="217"/>
      <c r="JC10" s="217"/>
      <c r="JD10" s="217"/>
      <c r="JE10" s="217"/>
      <c r="JF10" s="217"/>
      <c r="JG10" s="217"/>
      <c r="JH10" s="217"/>
      <c r="JI10" s="217"/>
      <c r="JJ10" s="217"/>
      <c r="JK10" s="217"/>
      <c r="JL10" s="217"/>
      <c r="JM10" s="217"/>
      <c r="JN10" s="217"/>
      <c r="JO10" s="217"/>
      <c r="JP10" s="217"/>
      <c r="JQ10" s="217"/>
      <c r="JR10" s="217"/>
      <c r="JS10" s="217"/>
      <c r="JT10" s="217"/>
      <c r="JU10" s="217"/>
      <c r="JV10" s="217"/>
      <c r="JW10" s="217"/>
      <c r="JX10" s="217"/>
      <c r="JY10" s="217"/>
      <c r="JZ10" s="217"/>
      <c r="KA10" s="217"/>
      <c r="KB10" s="217"/>
      <c r="KC10" s="217"/>
      <c r="KD10" s="217"/>
      <c r="KE10" s="217"/>
      <c r="KF10" s="217"/>
      <c r="KG10" s="217"/>
      <c r="KH10" s="217"/>
      <c r="KI10" s="217"/>
      <c r="KJ10" s="217"/>
      <c r="KK10" s="217"/>
      <c r="KL10" s="217"/>
      <c r="KM10" s="217"/>
      <c r="KN10" s="217"/>
      <c r="KO10" s="217"/>
      <c r="KP10" s="217"/>
      <c r="KQ10" s="217"/>
      <c r="KR10" s="217"/>
      <c r="KS10" s="217"/>
      <c r="KT10" s="217"/>
      <c r="KU10" s="217"/>
      <c r="KV10" s="217"/>
      <c r="KW10" s="217"/>
      <c r="KX10" s="217"/>
      <c r="KY10" s="217"/>
      <c r="KZ10" s="217"/>
      <c r="LA10" s="217"/>
      <c r="LB10" s="217"/>
      <c r="LC10" s="217"/>
      <c r="LD10" s="217"/>
      <c r="LE10" s="217"/>
      <c r="LF10" s="217"/>
      <c r="LG10" s="217"/>
      <c r="LH10" s="217"/>
      <c r="LI10" s="217"/>
      <c r="LJ10" s="217"/>
      <c r="LK10" s="217"/>
      <c r="LL10" s="217"/>
      <c r="LM10" s="217"/>
      <c r="LN10" s="217"/>
      <c r="LO10" s="217"/>
      <c r="LP10" s="217"/>
      <c r="LQ10" s="217"/>
      <c r="LR10" s="217"/>
      <c r="LS10" s="217"/>
      <c r="LT10" s="217"/>
      <c r="LU10" s="217"/>
      <c r="LV10" s="217"/>
      <c r="LW10" s="217"/>
      <c r="LX10" s="217"/>
      <c r="LY10" s="217"/>
      <c r="LZ10" s="217"/>
      <c r="MA10" s="217"/>
      <c r="MB10" s="217"/>
      <c r="MC10" s="217"/>
      <c r="MD10" s="217"/>
      <c r="ME10" s="217"/>
      <c r="MF10" s="217"/>
      <c r="MG10" s="217"/>
      <c r="MH10" s="217"/>
      <c r="MI10" s="217"/>
      <c r="MJ10" s="217"/>
      <c r="MK10" s="217"/>
      <c r="ML10" s="217"/>
      <c r="MM10" s="217"/>
      <c r="MN10" s="217"/>
      <c r="MO10" s="217"/>
      <c r="MP10" s="217"/>
      <c r="MQ10" s="217"/>
      <c r="MR10" s="217"/>
      <c r="MS10" s="217"/>
      <c r="MT10" s="217"/>
      <c r="MU10" s="217"/>
      <c r="MV10" s="217"/>
      <c r="MW10" s="217"/>
      <c r="MX10" s="217"/>
      <c r="MY10" s="217"/>
      <c r="MZ10" s="217"/>
      <c r="NA10" s="217"/>
      <c r="NB10" s="217"/>
      <c r="NC10" s="217"/>
      <c r="ND10" s="217"/>
      <c r="NE10" s="217"/>
      <c r="NF10" s="217"/>
      <c r="NG10" s="217"/>
      <c r="NH10" s="217"/>
      <c r="NI10" s="217"/>
      <c r="NJ10" s="217"/>
      <c r="NK10" s="217"/>
      <c r="NL10" s="217"/>
      <c r="NM10" s="217"/>
      <c r="NN10" s="217"/>
      <c r="NO10" s="217"/>
      <c r="NP10" s="217"/>
      <c r="NQ10" s="217"/>
      <c r="NR10" s="217"/>
      <c r="NS10" s="217"/>
      <c r="NT10" s="217"/>
      <c r="NU10" s="217"/>
      <c r="NV10" s="217"/>
      <c r="NW10" s="217"/>
      <c r="NX10" s="217"/>
      <c r="NY10" s="217"/>
      <c r="NZ10" s="217"/>
      <c r="OA10" s="217"/>
      <c r="OB10" s="217"/>
      <c r="OC10" s="217"/>
      <c r="OD10" s="217"/>
      <c r="OE10" s="217"/>
      <c r="OF10" s="217"/>
      <c r="OG10" s="217"/>
      <c r="OH10" s="217"/>
      <c r="OI10" s="217"/>
      <c r="OJ10" s="217"/>
      <c r="OK10" s="217"/>
      <c r="OL10" s="217"/>
      <c r="OM10" s="217"/>
      <c r="ON10" s="217"/>
      <c r="OO10" s="217"/>
      <c r="OP10" s="217"/>
      <c r="OQ10" s="217"/>
      <c r="OR10" s="217"/>
      <c r="OS10" s="217"/>
      <c r="OT10" s="217"/>
      <c r="OU10" s="217"/>
      <c r="OV10" s="217"/>
      <c r="OW10" s="217"/>
      <c r="OX10" s="217"/>
      <c r="OY10" s="217"/>
      <c r="OZ10" s="217"/>
      <c r="PA10" s="217"/>
      <c r="PB10" s="217"/>
      <c r="PC10" s="217"/>
      <c r="PD10" s="217"/>
      <c r="PE10" s="217"/>
      <c r="PF10" s="217"/>
      <c r="PG10" s="217"/>
      <c r="PH10" s="217"/>
      <c r="PI10" s="217"/>
      <c r="PJ10" s="217"/>
      <c r="PK10" s="217"/>
      <c r="PL10" s="217"/>
      <c r="PM10" s="217"/>
      <c r="PN10" s="217"/>
      <c r="PO10" s="217"/>
      <c r="PP10" s="217"/>
      <c r="PQ10" s="217"/>
      <c r="PR10" s="217"/>
      <c r="PS10" s="217"/>
      <c r="PT10" s="217"/>
      <c r="PU10" s="217"/>
      <c r="PV10" s="217"/>
      <c r="PW10" s="217"/>
      <c r="PX10" s="217"/>
      <c r="PY10" s="217"/>
      <c r="PZ10" s="217"/>
      <c r="QA10" s="217"/>
      <c r="QB10" s="217"/>
      <c r="QC10" s="217"/>
      <c r="QD10" s="217"/>
      <c r="QE10" s="217"/>
      <c r="QF10" s="217"/>
      <c r="QG10" s="217"/>
      <c r="QH10" s="217"/>
      <c r="QI10" s="217"/>
      <c r="QJ10" s="217"/>
      <c r="QK10" s="217"/>
      <c r="QL10" s="217"/>
      <c r="QM10" s="217"/>
      <c r="QN10" s="217"/>
      <c r="QO10" s="217"/>
      <c r="QP10" s="217"/>
      <c r="QQ10" s="217"/>
      <c r="QR10" s="217"/>
      <c r="QS10" s="217"/>
      <c r="QT10" s="217"/>
      <c r="QU10" s="217"/>
      <c r="QV10" s="217"/>
      <c r="QW10" s="217"/>
      <c r="QX10" s="217"/>
      <c r="QY10" s="217"/>
      <c r="QZ10" s="217"/>
      <c r="RA10" s="217"/>
      <c r="RB10" s="217"/>
      <c r="RC10" s="217"/>
      <c r="RD10" s="217"/>
      <c r="RE10" s="217"/>
      <c r="RF10" s="217"/>
      <c r="RG10" s="217"/>
      <c r="RH10" s="217"/>
      <c r="RI10" s="217"/>
      <c r="RJ10" s="217"/>
      <c r="RK10" s="217"/>
      <c r="RL10" s="217"/>
      <c r="RM10" s="217"/>
      <c r="RN10" s="217"/>
      <c r="RO10" s="217"/>
      <c r="RP10" s="217"/>
      <c r="RQ10" s="217"/>
      <c r="RR10" s="217"/>
      <c r="RS10" s="217"/>
      <c r="RT10" s="217"/>
      <c r="RU10" s="217"/>
      <c r="RV10" s="217"/>
      <c r="RW10" s="217"/>
      <c r="RX10" s="217"/>
      <c r="RY10" s="217"/>
      <c r="RZ10" s="217"/>
      <c r="SA10" s="217"/>
      <c r="SB10" s="217"/>
      <c r="SC10" s="217"/>
      <c r="SD10" s="217"/>
      <c r="SE10" s="217"/>
      <c r="SF10" s="217"/>
      <c r="SG10" s="217"/>
      <c r="SH10" s="217"/>
      <c r="SI10" s="217"/>
      <c r="SJ10" s="217"/>
      <c r="SK10" s="217"/>
      <c r="SL10" s="217"/>
      <c r="SM10" s="217"/>
      <c r="SN10" s="217"/>
      <c r="SO10" s="217"/>
      <c r="SP10" s="217"/>
      <c r="SQ10" s="217"/>
      <c r="SR10" s="217"/>
      <c r="SS10" s="217"/>
      <c r="ST10" s="217"/>
      <c r="SU10" s="217"/>
      <c r="SV10" s="217"/>
      <c r="SW10" s="217"/>
      <c r="SX10" s="217"/>
      <c r="SY10" s="217"/>
      <c r="SZ10" s="217"/>
      <c r="TA10" s="217"/>
      <c r="TB10" s="217"/>
      <c r="TC10" s="217"/>
      <c r="TD10" s="217"/>
      <c r="TE10" s="217"/>
      <c r="TF10" s="217"/>
      <c r="TG10" s="217"/>
      <c r="TH10" s="217"/>
      <c r="TI10" s="217"/>
      <c r="TJ10" s="217"/>
      <c r="TK10" s="217"/>
      <c r="TL10" s="217"/>
      <c r="TM10" s="217"/>
      <c r="TN10" s="217"/>
      <c r="TO10" s="217"/>
      <c r="TP10" s="217"/>
      <c r="TQ10" s="217"/>
      <c r="TR10" s="217"/>
      <c r="TS10" s="217"/>
      <c r="TT10" s="217"/>
      <c r="TU10" s="217"/>
      <c r="TV10" s="217"/>
      <c r="TW10" s="217"/>
      <c r="TX10" s="217"/>
      <c r="TY10" s="217"/>
      <c r="TZ10" s="217"/>
      <c r="UA10" s="217"/>
      <c r="UB10" s="217"/>
      <c r="UC10" s="217"/>
      <c r="UD10" s="217"/>
      <c r="UE10" s="217"/>
      <c r="UF10" s="217"/>
      <c r="UG10" s="217"/>
      <c r="UH10" s="217"/>
      <c r="UI10" s="217"/>
      <c r="UJ10" s="217"/>
      <c r="UK10" s="217"/>
      <c r="UL10" s="217"/>
      <c r="UM10" s="217"/>
      <c r="UN10" s="217"/>
      <c r="UO10" s="217"/>
      <c r="UP10" s="217"/>
      <c r="UQ10" s="217"/>
      <c r="UR10" s="217"/>
      <c r="US10" s="217"/>
      <c r="UT10" s="217"/>
      <c r="UU10" s="217"/>
      <c r="UV10" s="217"/>
      <c r="UW10" s="217"/>
      <c r="UX10" s="217"/>
      <c r="UY10" s="217"/>
      <c r="UZ10" s="217"/>
      <c r="VA10" s="217"/>
      <c r="VB10" s="217"/>
      <c r="VC10" s="217"/>
      <c r="VD10" s="217"/>
      <c r="VE10" s="217"/>
      <c r="VF10" s="217"/>
      <c r="VG10" s="217"/>
      <c r="VH10" s="217"/>
      <c r="VI10" s="217"/>
      <c r="VJ10" s="217"/>
      <c r="VK10" s="217"/>
      <c r="VL10" s="217"/>
      <c r="VM10" s="217"/>
      <c r="VN10" s="217"/>
      <c r="VO10" s="217"/>
      <c r="VP10" s="217"/>
      <c r="VQ10" s="217"/>
      <c r="VR10" s="217"/>
      <c r="VS10" s="217"/>
      <c r="VT10" s="217"/>
      <c r="VU10" s="217"/>
      <c r="VV10" s="217"/>
      <c r="VW10" s="217"/>
      <c r="VX10" s="217"/>
      <c r="VY10" s="217"/>
      <c r="VZ10" s="217"/>
      <c r="WA10" s="217"/>
      <c r="WB10" s="217"/>
      <c r="WC10" s="217"/>
      <c r="WD10" s="217"/>
      <c r="WE10" s="217"/>
      <c r="WF10" s="217"/>
      <c r="WG10" s="217"/>
      <c r="WH10" s="217"/>
      <c r="WI10" s="217"/>
      <c r="WJ10" s="217"/>
      <c r="WK10" s="217"/>
      <c r="WL10" s="217"/>
      <c r="WM10" s="217"/>
      <c r="WN10" s="217"/>
      <c r="WO10" s="217"/>
      <c r="WP10" s="217"/>
      <c r="WQ10" s="217"/>
      <c r="WR10" s="217"/>
      <c r="WS10" s="217"/>
      <c r="WT10" s="217"/>
      <c r="WU10" s="217"/>
      <c r="WV10" s="217"/>
      <c r="WW10" s="217"/>
      <c r="WX10" s="217"/>
      <c r="WY10" s="217"/>
      <c r="WZ10" s="217"/>
      <c r="XA10" s="217"/>
      <c r="XB10" s="217"/>
      <c r="XC10" s="217"/>
      <c r="XD10" s="217"/>
      <c r="XE10" s="217"/>
      <c r="XF10" s="217"/>
      <c r="XG10" s="217"/>
      <c r="XH10" s="217"/>
      <c r="XI10" s="217"/>
      <c r="XJ10" s="217"/>
      <c r="XK10" s="217"/>
      <c r="XL10" s="217"/>
      <c r="XM10" s="217"/>
      <c r="XN10" s="217"/>
      <c r="XO10" s="217"/>
      <c r="XP10" s="217"/>
      <c r="XQ10" s="217"/>
      <c r="XR10" s="217"/>
      <c r="XS10" s="217"/>
      <c r="XT10" s="217"/>
      <c r="XU10" s="217"/>
      <c r="XV10" s="217"/>
      <c r="XW10" s="217"/>
      <c r="XX10" s="217"/>
      <c r="XY10" s="217"/>
      <c r="XZ10" s="217"/>
      <c r="YA10" s="217"/>
      <c r="YB10" s="217"/>
      <c r="YC10" s="217"/>
      <c r="YD10" s="217"/>
      <c r="YE10" s="217"/>
      <c r="YF10" s="217"/>
      <c r="YG10" s="217"/>
      <c r="YH10" s="217"/>
      <c r="YI10" s="217"/>
      <c r="YJ10" s="217"/>
      <c r="YK10" s="217"/>
      <c r="YL10" s="217"/>
      <c r="YM10" s="217"/>
      <c r="YN10" s="217"/>
      <c r="YO10" s="217"/>
      <c r="YP10" s="217"/>
      <c r="YQ10" s="217"/>
      <c r="YR10" s="217"/>
      <c r="YS10" s="217"/>
      <c r="YT10" s="217"/>
      <c r="YU10" s="217"/>
      <c r="YV10" s="217"/>
      <c r="YW10" s="217"/>
      <c r="YX10" s="217"/>
      <c r="YY10" s="217"/>
      <c r="YZ10" s="217"/>
      <c r="ZA10" s="217"/>
      <c r="ZB10" s="217"/>
      <c r="ZC10" s="217"/>
      <c r="ZD10" s="217"/>
      <c r="ZE10" s="217"/>
      <c r="ZF10" s="217"/>
      <c r="ZG10" s="217"/>
      <c r="ZH10" s="217"/>
      <c r="ZI10" s="217"/>
      <c r="ZJ10" s="217"/>
      <c r="ZK10" s="217"/>
      <c r="ZL10" s="217"/>
      <c r="ZM10" s="217"/>
      <c r="ZN10" s="217"/>
      <c r="ZO10" s="217"/>
      <c r="ZP10" s="217"/>
      <c r="ZQ10" s="217"/>
      <c r="ZR10" s="217"/>
      <c r="ZS10" s="217"/>
      <c r="ZT10" s="217"/>
      <c r="ZU10" s="217"/>
      <c r="ZV10" s="217"/>
      <c r="ZW10" s="217"/>
      <c r="ZX10" s="217"/>
      <c r="ZY10" s="217"/>
      <c r="ZZ10" s="217"/>
      <c r="AAA10" s="217"/>
      <c r="AAB10" s="217"/>
      <c r="AAC10" s="217"/>
      <c r="AAD10" s="217"/>
      <c r="AAE10" s="217"/>
      <c r="AAF10" s="217"/>
      <c r="AAG10" s="217"/>
      <c r="AAH10" s="217"/>
      <c r="AAI10" s="217"/>
      <c r="AAJ10" s="217"/>
      <c r="AAK10" s="217"/>
      <c r="AAL10" s="217"/>
      <c r="AAM10" s="217"/>
      <c r="AAN10" s="217"/>
      <c r="AAO10" s="217"/>
      <c r="AAP10" s="217"/>
      <c r="AAQ10" s="217"/>
      <c r="AAR10" s="217"/>
      <c r="AAS10" s="217"/>
      <c r="AAT10" s="217"/>
      <c r="AAU10" s="217"/>
      <c r="AAV10" s="217"/>
      <c r="AAW10" s="217"/>
      <c r="AAX10" s="217"/>
      <c r="AAY10" s="217"/>
      <c r="AAZ10" s="217"/>
      <c r="ABA10" s="217"/>
      <c r="ABB10" s="217"/>
      <c r="ABC10" s="217"/>
      <c r="ABD10" s="217"/>
      <c r="ABE10" s="217"/>
      <c r="ABF10" s="217"/>
      <c r="ABG10" s="217"/>
      <c r="ABH10" s="217"/>
      <c r="ABI10" s="217"/>
      <c r="ABJ10" s="217"/>
      <c r="ABK10" s="217"/>
      <c r="ABL10" s="217"/>
      <c r="ABM10" s="217"/>
      <c r="ABN10" s="217"/>
      <c r="ABO10" s="217"/>
      <c r="ABP10" s="217"/>
      <c r="ABQ10" s="217"/>
      <c r="ABR10" s="217"/>
      <c r="ABS10" s="217"/>
      <c r="ABT10" s="217"/>
      <c r="ABU10" s="217"/>
      <c r="ABV10" s="217"/>
      <c r="ABW10" s="217"/>
      <c r="ABX10" s="217"/>
      <c r="ABY10" s="217"/>
      <c r="ABZ10" s="217"/>
      <c r="ACA10" s="217"/>
      <c r="ACB10" s="217"/>
      <c r="ACC10" s="217"/>
      <c r="ACD10" s="217"/>
      <c r="ACE10" s="217"/>
      <c r="ACF10" s="217"/>
      <c r="ACG10" s="217"/>
      <c r="ACH10" s="217"/>
      <c r="ACI10" s="217"/>
      <c r="ACJ10" s="217"/>
      <c r="ACK10" s="217"/>
      <c r="ACL10" s="217"/>
      <c r="ACM10" s="217"/>
      <c r="ACN10" s="217"/>
      <c r="ACO10" s="217"/>
      <c r="ACP10" s="217"/>
      <c r="ACQ10" s="217"/>
      <c r="ACR10" s="217"/>
      <c r="ACS10" s="217"/>
      <c r="ACT10" s="217"/>
      <c r="ACU10" s="217"/>
      <c r="ACV10" s="217"/>
      <c r="ACW10" s="217"/>
      <c r="ACX10" s="217"/>
      <c r="ACY10" s="217"/>
      <c r="ACZ10" s="217"/>
      <c r="ADA10" s="217"/>
      <c r="ADB10" s="217"/>
      <c r="ADC10" s="217"/>
      <c r="ADD10" s="217"/>
      <c r="ADE10" s="217"/>
      <c r="ADF10" s="217"/>
      <c r="ADG10" s="217"/>
      <c r="ADH10" s="217"/>
      <c r="ADI10" s="217"/>
      <c r="ADJ10" s="217"/>
      <c r="ADK10" s="217"/>
      <c r="ADL10" s="217"/>
      <c r="ADM10" s="217"/>
      <c r="ADN10" s="217"/>
      <c r="ADO10" s="217"/>
      <c r="ADP10" s="217"/>
      <c r="ADQ10" s="217"/>
      <c r="ADR10" s="217"/>
      <c r="ADS10" s="217"/>
      <c r="ADT10" s="217"/>
      <c r="ADU10" s="217"/>
      <c r="ADV10" s="217"/>
      <c r="ADW10" s="217"/>
      <c r="ADX10" s="217"/>
      <c r="ADY10" s="217"/>
      <c r="ADZ10" s="217"/>
      <c r="AEA10" s="217"/>
      <c r="AEB10" s="217"/>
      <c r="AEC10" s="217"/>
      <c r="AED10" s="217"/>
      <c r="AEE10" s="217"/>
      <c r="AEF10" s="217"/>
      <c r="AEG10" s="217"/>
      <c r="AEH10" s="217"/>
      <c r="AEI10" s="217"/>
      <c r="AEJ10" s="217"/>
      <c r="AEK10" s="217"/>
      <c r="AEL10" s="217"/>
      <c r="AEM10" s="217"/>
      <c r="AEN10" s="217"/>
      <c r="AEO10" s="217"/>
      <c r="AEP10" s="217"/>
      <c r="AEQ10" s="217"/>
      <c r="AER10" s="217"/>
      <c r="AES10" s="217"/>
      <c r="AET10" s="217"/>
      <c r="AEU10" s="217"/>
      <c r="AEV10" s="217"/>
      <c r="AEW10" s="217"/>
      <c r="AEX10" s="217"/>
      <c r="AEY10" s="217"/>
      <c r="AEZ10" s="217"/>
      <c r="AFA10" s="217"/>
      <c r="AFB10" s="217"/>
      <c r="AFC10" s="217"/>
      <c r="AFD10" s="217"/>
      <c r="AFE10" s="217"/>
      <c r="AFF10" s="217"/>
      <c r="AFG10" s="217"/>
      <c r="AFH10" s="217"/>
      <c r="AFI10" s="217"/>
      <c r="AFJ10" s="217"/>
      <c r="AFK10" s="217"/>
      <c r="AFL10" s="217"/>
      <c r="AFM10" s="217"/>
      <c r="AFN10" s="217"/>
      <c r="AFO10" s="217"/>
      <c r="AFP10" s="217"/>
      <c r="AFQ10" s="217"/>
      <c r="AFR10" s="217"/>
      <c r="AFS10" s="217"/>
      <c r="AFT10" s="217"/>
      <c r="AFU10" s="217"/>
      <c r="AFV10" s="217"/>
      <c r="AFW10" s="217"/>
      <c r="AFX10" s="217"/>
      <c r="AFY10" s="217"/>
      <c r="AFZ10" s="217"/>
      <c r="AGA10" s="217"/>
      <c r="AGB10" s="217"/>
      <c r="AGC10" s="217"/>
      <c r="AGD10" s="217"/>
      <c r="AGE10" s="217"/>
      <c r="AGF10" s="217"/>
      <c r="AGG10" s="217"/>
      <c r="AGH10" s="217"/>
      <c r="AGI10" s="217"/>
      <c r="AGJ10" s="217"/>
      <c r="AGK10" s="217"/>
      <c r="AGL10" s="217"/>
      <c r="AGM10" s="217"/>
      <c r="AGN10" s="217"/>
      <c r="AGO10" s="217"/>
      <c r="AGP10" s="217"/>
      <c r="AGQ10" s="217"/>
      <c r="AGR10" s="217"/>
      <c r="AGS10" s="217"/>
      <c r="AGT10" s="217"/>
      <c r="AGU10" s="217"/>
      <c r="AGV10" s="217"/>
      <c r="AGW10" s="217"/>
      <c r="AGX10" s="217"/>
      <c r="AGY10" s="217"/>
      <c r="AGZ10" s="217"/>
      <c r="AHA10" s="217"/>
      <c r="AHB10" s="217"/>
      <c r="AHC10" s="217"/>
      <c r="AHD10" s="217"/>
      <c r="AHE10" s="217"/>
      <c r="AHF10" s="217"/>
      <c r="AHG10" s="217"/>
      <c r="AHH10" s="217"/>
      <c r="AHI10" s="217"/>
      <c r="AHJ10" s="217"/>
      <c r="AHK10" s="217"/>
      <c r="AHL10" s="217"/>
      <c r="AHM10" s="217"/>
      <c r="AHN10" s="217"/>
      <c r="AHO10" s="217"/>
      <c r="AHP10" s="217"/>
      <c r="AHQ10" s="217"/>
      <c r="AHR10" s="217"/>
      <c r="AHS10" s="217"/>
      <c r="AHT10" s="217"/>
      <c r="AHU10" s="217"/>
      <c r="AHV10" s="217"/>
      <c r="AHW10" s="217"/>
      <c r="AHX10" s="217"/>
      <c r="AHY10" s="217"/>
      <c r="AHZ10" s="217"/>
      <c r="AIA10" s="217"/>
      <c r="AIB10" s="217"/>
      <c r="AIC10" s="217"/>
      <c r="AID10" s="217"/>
      <c r="AIE10" s="217"/>
      <c r="AIF10" s="217"/>
      <c r="AIG10" s="217"/>
      <c r="AIH10" s="217"/>
      <c r="AII10" s="217"/>
      <c r="AIJ10" s="217"/>
      <c r="AIK10" s="217"/>
      <c r="AIL10" s="217"/>
      <c r="AIM10" s="217"/>
      <c r="AIN10" s="217"/>
      <c r="AIO10" s="217"/>
      <c r="AIP10" s="217"/>
      <c r="AIQ10" s="217"/>
      <c r="AIR10" s="217"/>
      <c r="AIS10" s="217"/>
      <c r="AIT10" s="217"/>
      <c r="AIU10" s="217"/>
      <c r="AIV10" s="217"/>
      <c r="AIW10" s="217"/>
      <c r="AIX10" s="217"/>
      <c r="AIY10" s="217"/>
      <c r="AIZ10" s="217"/>
      <c r="AJA10" s="217"/>
      <c r="AJB10" s="217"/>
      <c r="AJC10" s="217"/>
      <c r="AJD10" s="217"/>
      <c r="AJE10" s="217"/>
      <c r="AJF10" s="217"/>
      <c r="AJG10" s="217"/>
      <c r="AJH10" s="217"/>
      <c r="AJI10" s="217"/>
      <c r="AJJ10" s="217"/>
      <c r="AJK10" s="217"/>
      <c r="AJL10" s="217"/>
      <c r="AJM10" s="217"/>
      <c r="AJN10" s="217"/>
      <c r="AJO10" s="217"/>
      <c r="AJP10" s="217"/>
      <c r="AJQ10" s="217"/>
      <c r="AJR10" s="217"/>
      <c r="AJS10" s="217"/>
      <c r="AJT10" s="217"/>
      <c r="AJU10" s="217"/>
      <c r="AJV10" s="217"/>
      <c r="AJW10" s="217"/>
      <c r="AJX10" s="217"/>
      <c r="AJY10" s="217"/>
      <c r="AJZ10" s="217"/>
      <c r="AKA10" s="217"/>
      <c r="AKB10" s="217"/>
      <c r="AKC10" s="217"/>
      <c r="AKD10" s="217"/>
      <c r="AKE10" s="217"/>
      <c r="AKF10" s="217"/>
      <c r="AKG10" s="217"/>
      <c r="AKH10" s="217"/>
      <c r="AKI10" s="217"/>
      <c r="AKJ10" s="217"/>
      <c r="AKK10" s="217"/>
      <c r="AKL10" s="217"/>
      <c r="AKM10" s="217"/>
      <c r="AKN10" s="217"/>
      <c r="AKO10" s="217"/>
      <c r="AKP10" s="217"/>
      <c r="AKQ10" s="217"/>
      <c r="AKR10" s="217"/>
      <c r="AKS10" s="217"/>
      <c r="AKT10" s="217"/>
      <c r="AKU10" s="217"/>
      <c r="AKV10" s="217"/>
      <c r="AKW10" s="217"/>
      <c r="AKX10" s="217"/>
      <c r="AKY10" s="217"/>
      <c r="AKZ10" s="217"/>
      <c r="ALA10" s="217"/>
      <c r="ALB10" s="217"/>
      <c r="ALC10" s="217"/>
      <c r="ALD10" s="217"/>
      <c r="ALE10" s="217"/>
      <c r="ALF10" s="217"/>
      <c r="ALG10" s="217"/>
      <c r="ALH10" s="217"/>
      <c r="ALI10" s="217"/>
      <c r="ALJ10" s="217"/>
      <c r="ALK10" s="217"/>
      <c r="ALL10" s="217"/>
      <c r="ALM10" s="217"/>
      <c r="ALN10" s="217"/>
      <c r="ALO10" s="217"/>
      <c r="ALP10" s="217"/>
      <c r="ALQ10" s="217"/>
      <c r="ALR10" s="217"/>
      <c r="ALS10" s="217"/>
      <c r="ALT10" s="217"/>
      <c r="ALU10" s="217"/>
      <c r="ALV10" s="217"/>
      <c r="ALW10" s="217"/>
      <c r="ALX10" s="217"/>
      <c r="ALY10" s="217"/>
      <c r="ALZ10" s="217"/>
      <c r="AMA10" s="217"/>
      <c r="AMB10" s="217"/>
      <c r="AMC10" s="217"/>
      <c r="AMD10" s="217"/>
      <c r="AME10" s="217"/>
      <c r="AMF10" s="217"/>
      <c r="AMG10" s="217"/>
      <c r="AMH10" s="217"/>
      <c r="AMI10" s="217"/>
      <c r="AMJ10" s="217"/>
      <c r="AMK10" s="217"/>
      <c r="AML10" s="217"/>
      <c r="AMM10" s="217"/>
      <c r="AMN10" s="217"/>
      <c r="AMO10" s="217"/>
      <c r="AMP10" s="217"/>
      <c r="AMQ10" s="217"/>
      <c r="AMR10" s="217"/>
      <c r="AMS10" s="217"/>
      <c r="AMT10" s="217"/>
      <c r="AMU10" s="217"/>
      <c r="AMV10" s="217"/>
      <c r="AMW10" s="217"/>
      <c r="AMX10" s="217"/>
      <c r="AMY10" s="217"/>
      <c r="AMZ10" s="217"/>
      <c r="ANA10" s="217"/>
      <c r="ANB10" s="217"/>
      <c r="ANC10" s="217"/>
      <c r="AND10" s="217"/>
      <c r="ANE10" s="217"/>
      <c r="ANF10" s="217"/>
      <c r="ANG10" s="217"/>
      <c r="ANH10" s="217"/>
      <c r="ANI10" s="217"/>
      <c r="ANJ10" s="217"/>
      <c r="ANK10" s="217"/>
      <c r="ANL10" s="217"/>
      <c r="ANM10" s="217"/>
      <c r="ANN10" s="217"/>
      <c r="ANO10" s="217"/>
      <c r="ANP10" s="217"/>
      <c r="ANQ10" s="217"/>
      <c r="ANR10" s="217"/>
      <c r="ANS10" s="217"/>
      <c r="ANT10" s="217"/>
      <c r="ANU10" s="217"/>
      <c r="ANV10" s="217"/>
      <c r="ANW10" s="217"/>
      <c r="ANX10" s="217"/>
      <c r="ANY10" s="217"/>
      <c r="ANZ10" s="217"/>
      <c r="AOA10" s="217"/>
      <c r="AOB10" s="217"/>
      <c r="AOC10" s="217"/>
      <c r="AOD10" s="217"/>
      <c r="AOE10" s="217"/>
      <c r="AOF10" s="217"/>
      <c r="AOG10" s="217"/>
      <c r="AOH10" s="217"/>
      <c r="AOI10" s="217"/>
      <c r="AOJ10" s="217"/>
      <c r="AOK10" s="217"/>
      <c r="AOL10" s="217"/>
      <c r="AOM10" s="217"/>
      <c r="AON10" s="217"/>
      <c r="AOO10" s="217"/>
      <c r="AOP10" s="217"/>
      <c r="AOQ10" s="217"/>
      <c r="AOR10" s="217"/>
      <c r="AOS10" s="217"/>
      <c r="AOT10" s="217"/>
      <c r="AOU10" s="217"/>
      <c r="AOV10" s="217"/>
      <c r="AOW10" s="217"/>
      <c r="AOX10" s="217"/>
      <c r="AOY10" s="217"/>
      <c r="AOZ10" s="217"/>
      <c r="APA10" s="217"/>
      <c r="APB10" s="217"/>
      <c r="APC10" s="217"/>
      <c r="APD10" s="217"/>
      <c r="APE10" s="217"/>
      <c r="APF10" s="217"/>
      <c r="APG10" s="217"/>
      <c r="APH10" s="217"/>
      <c r="API10" s="217"/>
      <c r="APJ10" s="217"/>
      <c r="APK10" s="217"/>
      <c r="APL10" s="217"/>
      <c r="APM10" s="217"/>
      <c r="APN10" s="217"/>
      <c r="APO10" s="217"/>
      <c r="APP10" s="217"/>
      <c r="APQ10" s="217"/>
      <c r="APR10" s="217"/>
      <c r="APS10" s="217"/>
      <c r="APT10" s="217"/>
      <c r="APU10" s="217"/>
      <c r="APV10" s="217"/>
      <c r="APW10" s="217"/>
      <c r="APX10" s="217"/>
      <c r="APY10" s="217"/>
      <c r="APZ10" s="217"/>
      <c r="AQA10" s="217"/>
      <c r="AQB10" s="217"/>
      <c r="AQC10" s="217"/>
      <c r="AQD10" s="217"/>
      <c r="AQE10" s="217"/>
      <c r="AQF10" s="217"/>
      <c r="AQG10" s="217"/>
      <c r="AQH10" s="217"/>
      <c r="AQI10" s="217"/>
      <c r="AQJ10" s="217"/>
      <c r="AQK10" s="217"/>
      <c r="AQL10" s="217"/>
      <c r="AQM10" s="217"/>
      <c r="AQN10" s="217"/>
      <c r="AQO10" s="217"/>
      <c r="AQP10" s="217"/>
      <c r="AQQ10" s="217"/>
      <c r="AQR10" s="217"/>
      <c r="AQS10" s="217"/>
      <c r="AQT10" s="217"/>
      <c r="AQU10" s="217"/>
      <c r="AQV10" s="217"/>
      <c r="AQW10" s="217"/>
      <c r="AQX10" s="217"/>
      <c r="AQY10" s="217"/>
      <c r="AQZ10" s="217"/>
      <c r="ARA10" s="217"/>
      <c r="ARB10" s="217"/>
      <c r="ARC10" s="217"/>
      <c r="ARD10" s="217"/>
      <c r="ARE10" s="217"/>
      <c r="ARF10" s="217"/>
      <c r="ARG10" s="217"/>
      <c r="ARH10" s="217"/>
      <c r="ARI10" s="217"/>
      <c r="ARJ10" s="217"/>
      <c r="ARK10" s="217"/>
      <c r="ARL10" s="217"/>
      <c r="ARM10" s="217"/>
      <c r="ARN10" s="217"/>
      <c r="ARO10" s="217"/>
      <c r="ARP10" s="217"/>
      <c r="ARQ10" s="217"/>
      <c r="ARR10" s="217"/>
      <c r="ARS10" s="217"/>
      <c r="ART10" s="217"/>
      <c r="ARU10" s="217"/>
      <c r="ARV10" s="217"/>
      <c r="ARW10" s="217"/>
      <c r="ARX10" s="217"/>
      <c r="ARY10" s="217"/>
      <c r="ARZ10" s="217"/>
      <c r="ASA10" s="217"/>
      <c r="ASB10" s="217"/>
      <c r="ASC10" s="217"/>
      <c r="ASD10" s="217"/>
      <c r="ASE10" s="217"/>
      <c r="ASF10" s="217"/>
      <c r="ASG10" s="217"/>
      <c r="ASH10" s="217"/>
      <c r="ASI10" s="217"/>
      <c r="ASJ10" s="217"/>
      <c r="ASK10" s="217"/>
      <c r="ASL10" s="217"/>
      <c r="ASM10" s="217"/>
      <c r="ASN10" s="217"/>
      <c r="ASO10" s="217"/>
      <c r="ASP10" s="217"/>
      <c r="ASQ10" s="217"/>
      <c r="ASR10" s="217"/>
      <c r="ASS10" s="217"/>
      <c r="AST10" s="217"/>
      <c r="ASU10" s="217"/>
      <c r="ASV10" s="217"/>
      <c r="ASW10" s="217"/>
      <c r="ASX10" s="217"/>
      <c r="ASY10" s="217"/>
      <c r="ASZ10" s="217"/>
      <c r="ATA10" s="217"/>
      <c r="ATB10" s="217"/>
      <c r="ATC10" s="217"/>
      <c r="ATD10" s="217"/>
      <c r="ATE10" s="217"/>
      <c r="ATF10" s="217"/>
      <c r="ATG10" s="217"/>
      <c r="ATH10" s="217"/>
      <c r="ATI10" s="217"/>
      <c r="ATJ10" s="217"/>
      <c r="ATK10" s="217"/>
      <c r="ATL10" s="217"/>
      <c r="ATM10" s="217"/>
      <c r="ATN10" s="217"/>
      <c r="ATO10" s="217"/>
      <c r="ATP10" s="217"/>
      <c r="ATQ10" s="217"/>
      <c r="ATR10" s="217"/>
      <c r="ATS10" s="217"/>
      <c r="ATT10" s="217"/>
      <c r="ATU10" s="217"/>
      <c r="ATV10" s="217"/>
      <c r="ATW10" s="217"/>
      <c r="ATX10" s="217"/>
      <c r="ATY10" s="217"/>
      <c r="ATZ10" s="217"/>
      <c r="AUA10" s="217"/>
      <c r="AUB10" s="217"/>
      <c r="AUC10" s="217"/>
      <c r="AUD10" s="217"/>
      <c r="AUE10" s="217"/>
      <c r="AUF10" s="217"/>
      <c r="AUG10" s="217"/>
      <c r="AUH10" s="217"/>
      <c r="AUI10" s="217"/>
      <c r="AUJ10" s="217"/>
      <c r="AUK10" s="217"/>
      <c r="AUL10" s="217"/>
      <c r="AUM10" s="217"/>
      <c r="AUN10" s="217"/>
      <c r="AUO10" s="217"/>
      <c r="AUP10" s="217"/>
      <c r="AUQ10" s="217"/>
      <c r="AUR10" s="217"/>
      <c r="AUS10" s="217"/>
      <c r="AUT10" s="217"/>
      <c r="AUU10" s="217"/>
      <c r="AUV10" s="217"/>
      <c r="AUW10" s="217"/>
      <c r="AUX10" s="217"/>
      <c r="AUY10" s="217"/>
      <c r="AUZ10" s="217"/>
      <c r="AVA10" s="217"/>
      <c r="AVB10" s="217"/>
      <c r="AVC10" s="217"/>
      <c r="AVD10" s="217"/>
      <c r="AVE10" s="217"/>
      <c r="AVF10" s="217"/>
      <c r="AVG10" s="217"/>
      <c r="AVH10" s="217"/>
      <c r="AVI10" s="217"/>
      <c r="AVJ10" s="217"/>
      <c r="AVK10" s="217"/>
      <c r="AVL10" s="217"/>
      <c r="AVM10" s="217"/>
      <c r="AVN10" s="217"/>
      <c r="AVO10" s="217"/>
      <c r="AVP10" s="217"/>
      <c r="AVQ10" s="217"/>
      <c r="AVR10" s="217"/>
      <c r="AVS10" s="217"/>
      <c r="AVT10" s="217"/>
      <c r="AVU10" s="217"/>
      <c r="AVV10" s="217"/>
      <c r="AVW10" s="217"/>
      <c r="AVX10" s="217"/>
      <c r="AVY10" s="217"/>
      <c r="AVZ10" s="217"/>
      <c r="AWA10" s="217"/>
      <c r="AWB10" s="217"/>
      <c r="AWC10" s="217"/>
      <c r="AWD10" s="217"/>
      <c r="AWE10" s="217"/>
      <c r="AWF10" s="217"/>
      <c r="AWG10" s="217"/>
      <c r="AWH10" s="217"/>
      <c r="AWI10" s="217"/>
      <c r="AWJ10" s="217"/>
      <c r="AWK10" s="217"/>
      <c r="AWL10" s="217"/>
      <c r="AWM10" s="217"/>
      <c r="AWN10" s="217"/>
      <c r="AWO10" s="217"/>
      <c r="AWP10" s="217"/>
      <c r="AWQ10" s="217"/>
      <c r="AWR10" s="217"/>
      <c r="AWS10" s="217"/>
      <c r="AWT10" s="217"/>
      <c r="AWU10" s="217"/>
      <c r="AWV10" s="217"/>
      <c r="AWW10" s="217"/>
      <c r="AWX10" s="217"/>
      <c r="AWY10" s="217"/>
      <c r="AWZ10" s="217"/>
      <c r="AXA10" s="217"/>
      <c r="AXB10" s="217"/>
      <c r="AXC10" s="217"/>
      <c r="AXD10" s="217"/>
      <c r="AXE10" s="217"/>
      <c r="AXF10" s="217"/>
      <c r="AXG10" s="217"/>
      <c r="AXH10" s="217"/>
      <c r="AXI10" s="217"/>
      <c r="AXJ10" s="217"/>
      <c r="AXK10" s="217"/>
      <c r="AXL10" s="217"/>
      <c r="AXM10" s="217"/>
      <c r="AXN10" s="217"/>
      <c r="AXO10" s="217"/>
      <c r="AXP10" s="217"/>
      <c r="AXQ10" s="217"/>
      <c r="AXR10" s="217"/>
      <c r="AXS10" s="217"/>
      <c r="AXT10" s="217"/>
      <c r="AXU10" s="217"/>
      <c r="AXV10" s="217"/>
      <c r="AXW10" s="217"/>
      <c r="AXX10" s="217"/>
      <c r="AXY10" s="217"/>
      <c r="AXZ10" s="217"/>
      <c r="AYA10" s="217"/>
      <c r="AYB10" s="217"/>
      <c r="AYC10" s="217"/>
      <c r="AYD10" s="217"/>
      <c r="AYE10" s="217"/>
      <c r="AYF10" s="217"/>
      <c r="AYG10" s="217"/>
      <c r="AYH10" s="217"/>
      <c r="AYI10" s="217"/>
      <c r="AYJ10" s="217"/>
      <c r="AYK10" s="217"/>
      <c r="AYL10" s="217"/>
      <c r="AYM10" s="217"/>
      <c r="AYN10" s="217"/>
      <c r="AYO10" s="217"/>
      <c r="AYP10" s="217"/>
      <c r="AYQ10" s="217"/>
      <c r="AYR10" s="217"/>
      <c r="AYS10" s="217"/>
      <c r="AYT10" s="217"/>
      <c r="AYU10" s="217"/>
      <c r="AYV10" s="217"/>
      <c r="AYW10" s="217"/>
      <c r="AYX10" s="217"/>
      <c r="AYY10" s="217"/>
      <c r="AYZ10" s="217"/>
      <c r="AZA10" s="217"/>
      <c r="AZB10" s="217"/>
      <c r="AZC10" s="217"/>
      <c r="AZD10" s="217"/>
      <c r="AZE10" s="217"/>
      <c r="AZF10" s="217"/>
      <c r="AZG10" s="217"/>
      <c r="AZH10" s="217"/>
      <c r="AZI10" s="217"/>
      <c r="AZJ10" s="217"/>
      <c r="AZK10" s="217"/>
      <c r="AZL10" s="217"/>
      <c r="AZM10" s="217"/>
      <c r="AZN10" s="217"/>
      <c r="AZO10" s="217"/>
      <c r="AZP10" s="217"/>
      <c r="AZQ10" s="217"/>
      <c r="AZR10" s="217"/>
      <c r="AZS10" s="217"/>
      <c r="AZT10" s="217"/>
      <c r="AZU10" s="217"/>
      <c r="AZV10" s="217"/>
      <c r="AZW10" s="217"/>
      <c r="AZX10" s="217"/>
      <c r="AZY10" s="217"/>
      <c r="AZZ10" s="217"/>
      <c r="BAA10" s="217"/>
      <c r="BAB10" s="217"/>
      <c r="BAC10" s="217"/>
      <c r="BAD10" s="217"/>
      <c r="BAE10" s="217"/>
      <c r="BAF10" s="217"/>
      <c r="BAG10" s="217"/>
      <c r="BAH10" s="217"/>
      <c r="BAI10" s="217"/>
      <c r="BAJ10" s="217"/>
      <c r="BAK10" s="217"/>
      <c r="BAL10" s="217"/>
      <c r="BAM10" s="217"/>
      <c r="BAN10" s="217"/>
      <c r="BAO10" s="217"/>
      <c r="BAP10" s="217"/>
      <c r="BAQ10" s="217"/>
      <c r="BAR10" s="217"/>
      <c r="BAS10" s="217"/>
      <c r="BAT10" s="217"/>
      <c r="BAU10" s="217"/>
      <c r="BAV10" s="217"/>
      <c r="BAW10" s="217"/>
      <c r="BAX10" s="217"/>
      <c r="BAY10" s="217"/>
      <c r="BAZ10" s="217"/>
      <c r="BBA10" s="217"/>
      <c r="BBB10" s="217"/>
      <c r="BBC10" s="217"/>
      <c r="BBD10" s="217"/>
      <c r="BBE10" s="217"/>
      <c r="BBF10" s="217"/>
      <c r="BBG10" s="217"/>
      <c r="BBH10" s="217"/>
      <c r="BBI10" s="217"/>
      <c r="BBJ10" s="217"/>
      <c r="BBK10" s="217"/>
      <c r="BBL10" s="217"/>
      <c r="BBM10" s="217"/>
      <c r="BBN10" s="217"/>
      <c r="BBO10" s="217"/>
      <c r="BBP10" s="217"/>
      <c r="BBQ10" s="217"/>
      <c r="BBR10" s="217"/>
      <c r="BBS10" s="217"/>
      <c r="BBT10" s="217"/>
      <c r="BBU10" s="217"/>
      <c r="BBV10" s="217"/>
      <c r="BBW10" s="217"/>
      <c r="BBX10" s="217"/>
      <c r="BBY10" s="217"/>
      <c r="BBZ10" s="217"/>
      <c r="BCA10" s="217"/>
      <c r="BCB10" s="217"/>
      <c r="BCC10" s="217"/>
      <c r="BCD10" s="217"/>
      <c r="BCE10" s="217"/>
      <c r="BCF10" s="217"/>
      <c r="BCG10" s="217"/>
      <c r="BCH10" s="217"/>
      <c r="BCI10" s="217"/>
      <c r="BCJ10" s="217"/>
      <c r="BCK10" s="217"/>
      <c r="BCL10" s="217"/>
      <c r="BCM10" s="217"/>
      <c r="BCN10" s="217"/>
      <c r="BCO10" s="217"/>
      <c r="BCP10" s="217"/>
      <c r="BCQ10" s="217"/>
      <c r="BCR10" s="217"/>
      <c r="BCS10" s="217"/>
      <c r="BCT10" s="217"/>
      <c r="BCU10" s="217"/>
      <c r="BCV10" s="217"/>
      <c r="BCW10" s="217"/>
      <c r="BCX10" s="217"/>
      <c r="BCY10" s="217"/>
      <c r="BCZ10" s="217"/>
      <c r="BDA10" s="217"/>
      <c r="BDB10" s="217"/>
      <c r="BDC10" s="217"/>
      <c r="BDD10" s="217"/>
      <c r="BDE10" s="217"/>
      <c r="BDF10" s="217"/>
      <c r="BDG10" s="217"/>
      <c r="BDH10" s="217"/>
      <c r="BDI10" s="217"/>
      <c r="BDJ10" s="217"/>
      <c r="BDK10" s="217"/>
      <c r="BDL10" s="217"/>
      <c r="BDM10" s="217"/>
      <c r="BDN10" s="217"/>
      <c r="BDO10" s="217"/>
      <c r="BDP10" s="217"/>
      <c r="BDQ10" s="217"/>
      <c r="BDR10" s="217"/>
      <c r="BDS10" s="217"/>
      <c r="BDT10" s="217"/>
      <c r="BDU10" s="217"/>
      <c r="BDV10" s="217"/>
      <c r="BDW10" s="217"/>
      <c r="BDX10" s="217"/>
      <c r="BDY10" s="217"/>
      <c r="BDZ10" s="217"/>
      <c r="BEA10" s="217"/>
      <c r="BEB10" s="217"/>
      <c r="BEC10" s="217"/>
      <c r="BED10" s="217"/>
      <c r="BEE10" s="217"/>
      <c r="BEF10" s="217"/>
      <c r="BEG10" s="217"/>
      <c r="BEH10" s="217"/>
      <c r="BEI10" s="217"/>
      <c r="BEJ10" s="217"/>
      <c r="BEK10" s="217"/>
      <c r="BEL10" s="217"/>
      <c r="BEM10" s="217"/>
      <c r="BEN10" s="217"/>
      <c r="BEO10" s="217"/>
      <c r="BEP10" s="217"/>
      <c r="BEQ10" s="217"/>
      <c r="BER10" s="217"/>
      <c r="BES10" s="217"/>
      <c r="BET10" s="217"/>
      <c r="BEU10" s="217"/>
      <c r="BEV10" s="217"/>
      <c r="BEW10" s="217"/>
      <c r="BEX10" s="217"/>
      <c r="BEY10" s="217"/>
      <c r="BEZ10" s="217"/>
      <c r="BFA10" s="217"/>
      <c r="BFB10" s="217"/>
      <c r="BFC10" s="217"/>
      <c r="BFD10" s="217"/>
      <c r="BFE10" s="217"/>
      <c r="BFF10" s="217"/>
      <c r="BFG10" s="217"/>
      <c r="BFH10" s="217"/>
      <c r="BFI10" s="217"/>
      <c r="BFJ10" s="217"/>
      <c r="BFK10" s="217"/>
      <c r="BFL10" s="217"/>
      <c r="BFM10" s="217"/>
      <c r="BFN10" s="217"/>
      <c r="BFO10" s="217"/>
      <c r="BFP10" s="217"/>
      <c r="BFQ10" s="217"/>
      <c r="BFR10" s="217"/>
      <c r="BFS10" s="217"/>
      <c r="BFT10" s="217"/>
      <c r="BFU10" s="217"/>
      <c r="BFV10" s="217"/>
      <c r="BFW10" s="217"/>
      <c r="BFX10" s="217"/>
      <c r="BFY10" s="217"/>
      <c r="BFZ10" s="217"/>
      <c r="BGA10" s="217"/>
      <c r="BGB10" s="217"/>
      <c r="BGC10" s="217"/>
      <c r="BGD10" s="217"/>
      <c r="BGE10" s="217"/>
      <c r="BGF10" s="217"/>
      <c r="BGG10" s="217"/>
      <c r="BGH10" s="217"/>
      <c r="BGI10" s="217"/>
      <c r="BGJ10" s="217"/>
      <c r="BGK10" s="217"/>
      <c r="BGL10" s="217"/>
      <c r="BGM10" s="217"/>
      <c r="BGN10" s="217"/>
      <c r="BGO10" s="217"/>
      <c r="BGP10" s="217"/>
      <c r="BGQ10" s="217"/>
      <c r="BGR10" s="217"/>
      <c r="BGS10" s="217"/>
      <c r="BGT10" s="217"/>
      <c r="BGU10" s="217"/>
      <c r="BGV10" s="217"/>
      <c r="BGW10" s="217"/>
      <c r="BGX10" s="217"/>
      <c r="BGY10" s="217"/>
      <c r="BGZ10" s="217"/>
      <c r="BHA10" s="217"/>
      <c r="BHB10" s="217"/>
      <c r="BHC10" s="217"/>
      <c r="BHD10" s="217"/>
      <c r="BHE10" s="217"/>
      <c r="BHF10" s="217"/>
      <c r="BHG10" s="217"/>
      <c r="BHH10" s="217"/>
      <c r="BHI10" s="217"/>
      <c r="BHJ10" s="217"/>
      <c r="BHK10" s="217"/>
      <c r="BHL10" s="217"/>
      <c r="BHM10" s="217"/>
      <c r="BHN10" s="217"/>
      <c r="BHO10" s="217"/>
      <c r="BHP10" s="217"/>
      <c r="BHQ10" s="217"/>
      <c r="BHR10" s="217"/>
      <c r="BHS10" s="217"/>
      <c r="BHT10" s="217"/>
      <c r="BHU10" s="217"/>
      <c r="BHV10" s="217"/>
      <c r="BHW10" s="217"/>
      <c r="BHX10" s="217"/>
      <c r="BHY10" s="217"/>
      <c r="BHZ10" s="217"/>
      <c r="BIA10" s="217"/>
      <c r="BIB10" s="217"/>
      <c r="BIC10" s="217"/>
      <c r="BID10" s="217"/>
      <c r="BIE10" s="217"/>
      <c r="BIF10" s="217"/>
      <c r="BIG10" s="217"/>
      <c r="BIH10" s="217"/>
      <c r="BII10" s="217"/>
      <c r="BIJ10" s="217"/>
      <c r="BIK10" s="217"/>
      <c r="BIL10" s="217"/>
      <c r="BIM10" s="217"/>
      <c r="BIN10" s="217"/>
      <c r="BIO10" s="217"/>
      <c r="BIP10" s="217"/>
      <c r="BIQ10" s="217"/>
      <c r="BIR10" s="217"/>
      <c r="BIS10" s="217"/>
      <c r="BIT10" s="217"/>
      <c r="BIU10" s="217"/>
      <c r="BIV10" s="217"/>
      <c r="BIW10" s="217"/>
      <c r="BIX10" s="217"/>
      <c r="BIY10" s="217"/>
      <c r="BIZ10" s="217"/>
      <c r="BJA10" s="217"/>
      <c r="BJB10" s="217"/>
      <c r="BJC10" s="217"/>
      <c r="BJD10" s="217"/>
      <c r="BJE10" s="217"/>
      <c r="BJF10" s="217"/>
      <c r="BJG10" s="217"/>
      <c r="BJH10" s="217"/>
      <c r="BJI10" s="217"/>
      <c r="BJJ10" s="217"/>
      <c r="BJK10" s="217"/>
      <c r="BJL10" s="217"/>
      <c r="BJM10" s="217"/>
      <c r="BJN10" s="217"/>
      <c r="BJO10" s="217"/>
      <c r="BJP10" s="217"/>
      <c r="BJQ10" s="217"/>
      <c r="BJR10" s="217"/>
      <c r="BJS10" s="217"/>
      <c r="BJT10" s="217"/>
      <c r="BJU10" s="217"/>
      <c r="BJV10" s="217"/>
      <c r="BJW10" s="217"/>
      <c r="BJX10" s="217"/>
      <c r="BJY10" s="217"/>
      <c r="BJZ10" s="217"/>
      <c r="BKA10" s="217"/>
      <c r="BKB10" s="217"/>
      <c r="BKC10" s="217"/>
      <c r="BKD10" s="217"/>
      <c r="BKE10" s="217"/>
      <c r="BKF10" s="217"/>
      <c r="BKG10" s="217"/>
      <c r="BKH10" s="217"/>
      <c r="BKI10" s="217"/>
      <c r="BKJ10" s="217"/>
      <c r="BKK10" s="217"/>
      <c r="BKL10" s="217"/>
      <c r="BKM10" s="217"/>
      <c r="BKN10" s="217"/>
      <c r="BKO10" s="217"/>
      <c r="BKP10" s="217"/>
      <c r="BKQ10" s="217"/>
      <c r="BKR10" s="217"/>
      <c r="BKS10" s="217"/>
      <c r="BKT10" s="217"/>
      <c r="BKU10" s="217"/>
      <c r="BKV10" s="217"/>
      <c r="BKW10" s="217"/>
      <c r="BKX10" s="217"/>
      <c r="BKY10" s="217"/>
      <c r="BKZ10" s="217"/>
      <c r="BLA10" s="217"/>
      <c r="BLB10" s="217"/>
      <c r="BLC10" s="217"/>
      <c r="BLD10" s="217"/>
      <c r="BLE10" s="217"/>
      <c r="BLF10" s="217"/>
      <c r="BLG10" s="217"/>
      <c r="BLH10" s="217"/>
      <c r="BLI10" s="217"/>
      <c r="BLJ10" s="217"/>
      <c r="BLK10" s="217"/>
      <c r="BLL10" s="217"/>
      <c r="BLM10" s="217"/>
      <c r="BLN10" s="217"/>
      <c r="BLO10" s="217"/>
      <c r="BLP10" s="217"/>
      <c r="BLQ10" s="217"/>
      <c r="BLR10" s="217"/>
      <c r="BLS10" s="217"/>
      <c r="BLT10" s="217"/>
      <c r="BLU10" s="217"/>
      <c r="BLV10" s="217"/>
      <c r="BLW10" s="217"/>
      <c r="BLX10" s="217"/>
      <c r="BLY10" s="217"/>
      <c r="BLZ10" s="217"/>
      <c r="BMA10" s="217"/>
      <c r="BMB10" s="217"/>
      <c r="BMC10" s="217"/>
      <c r="BMD10" s="217"/>
      <c r="BME10" s="217"/>
      <c r="BMF10" s="217"/>
      <c r="BMG10" s="217"/>
      <c r="BMH10" s="217"/>
      <c r="BMI10" s="217"/>
      <c r="BMJ10" s="217"/>
      <c r="BMK10" s="217"/>
      <c r="BML10" s="217"/>
      <c r="BMM10" s="217"/>
      <c r="BMN10" s="217"/>
      <c r="BMO10" s="217"/>
      <c r="BMP10" s="217"/>
      <c r="BMQ10" s="217"/>
      <c r="BMR10" s="217"/>
      <c r="BMS10" s="217"/>
      <c r="BMT10" s="217"/>
      <c r="BMU10" s="217"/>
      <c r="BMV10" s="217"/>
      <c r="BMW10" s="217"/>
      <c r="BMX10" s="217"/>
      <c r="BMY10" s="217"/>
      <c r="BMZ10" s="217"/>
      <c r="BNA10" s="217"/>
      <c r="BNB10" s="217"/>
      <c r="BNC10" s="217"/>
      <c r="BND10" s="217"/>
      <c r="BNE10" s="217"/>
      <c r="BNF10" s="217"/>
      <c r="BNG10" s="217"/>
      <c r="BNH10" s="217"/>
      <c r="BNI10" s="217"/>
      <c r="BNJ10" s="217"/>
      <c r="BNK10" s="217"/>
      <c r="BNL10" s="217"/>
      <c r="BNM10" s="217"/>
      <c r="BNN10" s="217"/>
      <c r="BNO10" s="217"/>
      <c r="BNP10" s="217"/>
      <c r="BNQ10" s="217"/>
      <c r="BNR10" s="217"/>
      <c r="BNS10" s="217"/>
      <c r="BNT10" s="217"/>
      <c r="BNU10" s="217"/>
      <c r="BNV10" s="217"/>
      <c r="BNW10" s="217"/>
      <c r="BNX10" s="217"/>
      <c r="BNY10" s="217"/>
      <c r="BNZ10" s="217"/>
      <c r="BOA10" s="217"/>
      <c r="BOB10" s="217"/>
      <c r="BOC10" s="217"/>
      <c r="BOD10" s="217"/>
      <c r="BOE10" s="217"/>
      <c r="BOF10" s="217"/>
      <c r="BOG10" s="217"/>
      <c r="BOH10" s="217"/>
      <c r="BOI10" s="217"/>
      <c r="BOJ10" s="217"/>
      <c r="BOK10" s="217"/>
      <c r="BOL10" s="217"/>
      <c r="BOM10" s="217"/>
      <c r="BON10" s="217"/>
      <c r="BOO10" s="217"/>
      <c r="BOP10" s="217"/>
      <c r="BOQ10" s="217"/>
      <c r="BOR10" s="217"/>
      <c r="BOS10" s="217"/>
      <c r="BOT10" s="217"/>
      <c r="BOU10" s="217"/>
      <c r="BOV10" s="217"/>
      <c r="BOW10" s="217"/>
      <c r="BOX10" s="217"/>
      <c r="BOY10" s="217"/>
      <c r="BOZ10" s="217"/>
      <c r="BPA10" s="217"/>
      <c r="BPB10" s="217"/>
      <c r="BPC10" s="217"/>
      <c r="BPD10" s="217"/>
      <c r="BPE10" s="217"/>
      <c r="BPF10" s="217"/>
      <c r="BPG10" s="217"/>
      <c r="BPH10" s="217"/>
      <c r="BPI10" s="217"/>
      <c r="BPJ10" s="217"/>
      <c r="BPK10" s="217"/>
      <c r="BPL10" s="217"/>
      <c r="BPM10" s="217"/>
      <c r="BPN10" s="217"/>
      <c r="BPO10" s="217"/>
      <c r="BPP10" s="217"/>
      <c r="BPQ10" s="217"/>
      <c r="BPR10" s="217"/>
      <c r="BPS10" s="217"/>
      <c r="BPT10" s="217"/>
      <c r="BPU10" s="217"/>
      <c r="BPV10" s="217"/>
      <c r="BPW10" s="217"/>
      <c r="BPX10" s="217"/>
      <c r="BPY10" s="217"/>
      <c r="BPZ10" s="217"/>
      <c r="BQA10" s="217"/>
      <c r="BQB10" s="217"/>
      <c r="BQC10" s="217"/>
      <c r="BQD10" s="217"/>
      <c r="BQE10" s="217"/>
      <c r="BQF10" s="217"/>
      <c r="BQG10" s="217"/>
      <c r="BQH10" s="217"/>
      <c r="BQI10" s="217"/>
      <c r="BQJ10" s="217"/>
      <c r="BQK10" s="217"/>
    </row>
    <row r="11" spans="1:1805" ht="20.100000000000001" customHeight="1" x14ac:dyDescent="0.25">
      <c r="B11" s="53"/>
      <c r="C11" s="239"/>
      <c r="D11" s="239"/>
      <c r="E11" s="239"/>
      <c r="F11" s="235" t="s">
        <v>75</v>
      </c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5"/>
      <c r="AH11" s="235"/>
      <c r="AI11" s="235"/>
      <c r="AJ11" s="235"/>
      <c r="AK11" s="235"/>
      <c r="AL11" s="235"/>
      <c r="AM11" s="235"/>
      <c r="AN11" s="235"/>
      <c r="AO11" s="235"/>
      <c r="AP11" s="235"/>
      <c r="AQ11" s="235"/>
      <c r="AR11" s="235"/>
      <c r="AS11" s="235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  <c r="BH11" s="235"/>
      <c r="BI11" s="235"/>
      <c r="BJ11" s="235"/>
      <c r="BK11" s="235"/>
      <c r="BL11" s="235"/>
      <c r="BM11" s="235"/>
      <c r="BN11" s="235" t="s">
        <v>75</v>
      </c>
      <c r="BO11" s="235"/>
      <c r="BP11" s="235"/>
      <c r="BQ11" s="235"/>
      <c r="BR11" s="235"/>
      <c r="BS11" s="235"/>
      <c r="BT11" s="235"/>
      <c r="BU11" s="235"/>
      <c r="BV11" s="235"/>
      <c r="BW11" s="235"/>
      <c r="BX11" s="235"/>
      <c r="BY11" s="235"/>
      <c r="BZ11" s="235"/>
      <c r="CA11" s="235"/>
      <c r="CB11" s="235"/>
      <c r="CC11" s="235"/>
      <c r="CD11" s="235"/>
      <c r="CE11" s="235"/>
      <c r="CF11" s="235"/>
      <c r="CG11" s="235"/>
      <c r="CH11" s="235"/>
      <c r="CI11" s="235"/>
      <c r="CJ11" s="235"/>
      <c r="CK11" s="235"/>
      <c r="CL11" s="235"/>
      <c r="CM11" s="235"/>
      <c r="CN11" s="235"/>
      <c r="CO11" s="235"/>
      <c r="CP11" s="235"/>
      <c r="CQ11" s="235"/>
      <c r="CR11" s="235"/>
      <c r="CS11" s="235"/>
      <c r="CT11" s="235"/>
      <c r="CU11" s="235"/>
      <c r="CV11" s="235"/>
      <c r="CW11" s="235"/>
      <c r="CX11" s="235"/>
      <c r="CY11" s="235"/>
      <c r="CZ11" s="235"/>
      <c r="DA11" s="235"/>
      <c r="DB11" s="235"/>
      <c r="DC11" s="235"/>
      <c r="DD11" s="235"/>
      <c r="DE11" s="235"/>
      <c r="DF11" s="235"/>
      <c r="DG11" s="235"/>
      <c r="DH11" s="235"/>
      <c r="DI11" s="235"/>
      <c r="DJ11" s="235"/>
      <c r="DK11" s="235"/>
      <c r="DL11" s="235"/>
      <c r="DM11" s="235"/>
      <c r="DN11" s="235"/>
      <c r="DO11" s="235"/>
      <c r="DP11" s="235"/>
      <c r="DQ11" s="235"/>
      <c r="DR11" s="235"/>
      <c r="DS11" s="235"/>
      <c r="DT11" s="235"/>
      <c r="DU11" s="235"/>
      <c r="DV11" s="218" t="s">
        <v>74</v>
      </c>
      <c r="DW11" s="218"/>
      <c r="DX11" s="218"/>
      <c r="DY11" s="218"/>
      <c r="DZ11" s="218"/>
      <c r="EA11" s="218"/>
      <c r="EB11" s="218"/>
      <c r="EC11" s="218"/>
      <c r="ED11" s="218"/>
      <c r="EE11" s="218"/>
      <c r="EF11" s="218"/>
      <c r="EG11" s="218"/>
      <c r="EH11" s="218"/>
      <c r="EI11" s="218"/>
      <c r="EJ11" s="218"/>
      <c r="EK11" s="218"/>
      <c r="EL11" s="218"/>
      <c r="EM11" s="218"/>
      <c r="EN11" s="218"/>
      <c r="EO11" s="218"/>
      <c r="EP11" s="218"/>
      <c r="EQ11" s="218"/>
      <c r="ER11" s="218"/>
      <c r="ES11" s="218"/>
      <c r="ET11" s="218"/>
      <c r="EU11" s="218"/>
      <c r="EV11" s="218"/>
      <c r="EW11" s="218"/>
      <c r="EX11" s="218"/>
      <c r="EY11" s="218"/>
      <c r="EZ11" s="218"/>
      <c r="FA11" s="218"/>
      <c r="FB11" s="218"/>
      <c r="FC11" s="218"/>
      <c r="FD11" s="218"/>
      <c r="FE11" s="218"/>
      <c r="FF11" s="218"/>
      <c r="FG11" s="218"/>
      <c r="FH11" s="218"/>
      <c r="FI11" s="218"/>
      <c r="FJ11" s="218"/>
      <c r="FK11" s="218"/>
      <c r="FL11" s="218"/>
      <c r="FM11" s="218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218"/>
      <c r="GD11" s="218" t="s">
        <v>74</v>
      </c>
      <c r="GE11" s="218"/>
      <c r="GF11" s="218"/>
      <c r="GG11" s="218"/>
      <c r="GH11" s="218"/>
      <c r="GI11" s="218"/>
      <c r="GJ11" s="218"/>
      <c r="GK11" s="218"/>
      <c r="GL11" s="218"/>
      <c r="GM11" s="218"/>
      <c r="GN11" s="218"/>
      <c r="GO11" s="218"/>
      <c r="GP11" s="218"/>
      <c r="GQ11" s="218"/>
      <c r="GR11" s="218"/>
      <c r="GS11" s="218"/>
      <c r="GT11" s="218"/>
      <c r="GU11" s="218"/>
      <c r="GV11" s="218"/>
      <c r="GW11" s="218"/>
      <c r="GX11" s="218"/>
      <c r="GY11" s="218"/>
      <c r="GZ11" s="218"/>
      <c r="HA11" s="218"/>
      <c r="HB11" s="218"/>
      <c r="HC11" s="218"/>
      <c r="HD11" s="218"/>
      <c r="HE11" s="218"/>
      <c r="HF11" s="218"/>
      <c r="HG11" s="218"/>
      <c r="HH11" s="218"/>
      <c r="HI11" s="218"/>
      <c r="HJ11" s="218"/>
      <c r="HK11" s="218"/>
      <c r="HL11" s="218"/>
      <c r="HM11" s="218"/>
      <c r="HN11" s="218"/>
      <c r="HO11" s="218"/>
      <c r="HP11" s="218"/>
      <c r="HQ11" s="218"/>
      <c r="HR11" s="218"/>
      <c r="HS11" s="218"/>
      <c r="HT11" s="218"/>
      <c r="HU11" s="218"/>
      <c r="HV11" s="218"/>
      <c r="HW11" s="218"/>
      <c r="HX11" s="218"/>
      <c r="HY11" s="218"/>
      <c r="HZ11" s="218"/>
      <c r="IA11" s="218"/>
      <c r="IB11" s="218"/>
      <c r="IC11" s="218"/>
      <c r="ID11" s="218"/>
      <c r="IE11" s="218"/>
      <c r="IF11" s="218"/>
      <c r="IG11" s="218"/>
      <c r="IH11" s="218"/>
      <c r="II11" s="218"/>
      <c r="IJ11" s="218"/>
      <c r="IK11" s="218"/>
      <c r="IL11" s="218" t="s">
        <v>73</v>
      </c>
      <c r="IM11" s="218"/>
      <c r="IN11" s="218"/>
      <c r="IO11" s="218"/>
      <c r="IP11" s="218"/>
      <c r="IQ11" s="218"/>
      <c r="IR11" s="218"/>
      <c r="IS11" s="218"/>
      <c r="IT11" s="218"/>
      <c r="IU11" s="218"/>
      <c r="IV11" s="218"/>
      <c r="IW11" s="218"/>
      <c r="IX11" s="218"/>
      <c r="IY11" s="218"/>
      <c r="IZ11" s="218"/>
      <c r="JA11" s="218"/>
      <c r="JB11" s="218"/>
      <c r="JC11" s="218"/>
      <c r="JD11" s="218"/>
      <c r="JE11" s="218"/>
      <c r="JF11" s="218"/>
      <c r="JG11" s="218"/>
      <c r="JH11" s="218"/>
      <c r="JI11" s="218"/>
      <c r="JJ11" s="218"/>
      <c r="JK11" s="218"/>
      <c r="JL11" s="218"/>
      <c r="JM11" s="218"/>
      <c r="JN11" s="218"/>
      <c r="JO11" s="218"/>
      <c r="JP11" s="218"/>
      <c r="JQ11" s="218"/>
      <c r="JR11" s="218"/>
      <c r="JS11" s="218"/>
      <c r="JT11" s="218"/>
      <c r="JU11" s="218"/>
      <c r="JV11" s="218"/>
      <c r="JW11" s="218"/>
      <c r="JX11" s="218"/>
      <c r="JY11" s="218"/>
      <c r="JZ11" s="218"/>
      <c r="KA11" s="218"/>
      <c r="KB11" s="218"/>
      <c r="KC11" s="218"/>
      <c r="KD11" s="218"/>
      <c r="KE11" s="218"/>
      <c r="KF11" s="218"/>
      <c r="KG11" s="218"/>
      <c r="KH11" s="218"/>
      <c r="KI11" s="218"/>
      <c r="KJ11" s="218"/>
      <c r="KK11" s="218"/>
      <c r="KL11" s="218"/>
      <c r="KM11" s="218"/>
      <c r="KN11" s="218"/>
      <c r="KO11" s="218"/>
      <c r="KP11" s="218"/>
      <c r="KQ11" s="218"/>
      <c r="KR11" s="218"/>
      <c r="KS11" s="218"/>
      <c r="KT11" s="218" t="s">
        <v>72</v>
      </c>
      <c r="KU11" s="218"/>
      <c r="KV11" s="218"/>
      <c r="KW11" s="218"/>
      <c r="KX11" s="218"/>
      <c r="KY11" s="218"/>
      <c r="KZ11" s="218"/>
      <c r="LA11" s="218"/>
      <c r="LB11" s="218"/>
      <c r="LC11" s="218"/>
      <c r="LD11" s="218"/>
      <c r="LE11" s="218"/>
      <c r="LF11" s="218"/>
      <c r="LG11" s="218"/>
      <c r="LH11" s="218"/>
      <c r="LI11" s="218"/>
      <c r="LJ11" s="218"/>
      <c r="LK11" s="218"/>
      <c r="LL11" s="218"/>
      <c r="LM11" s="218"/>
      <c r="LN11" s="218"/>
      <c r="LO11" s="218"/>
      <c r="LP11" s="218"/>
      <c r="LQ11" s="218"/>
      <c r="LR11" s="218"/>
      <c r="LS11" s="218"/>
      <c r="LT11" s="218"/>
      <c r="LU11" s="218"/>
      <c r="LV11" s="218"/>
      <c r="LW11" s="218"/>
      <c r="LX11" s="218"/>
      <c r="LY11" s="218"/>
      <c r="LZ11" s="218"/>
      <c r="MA11" s="218"/>
      <c r="MB11" s="218"/>
      <c r="MC11" s="218"/>
      <c r="MD11" s="218"/>
      <c r="ME11" s="218"/>
      <c r="MF11" s="218"/>
      <c r="MG11" s="218"/>
      <c r="MH11" s="218"/>
      <c r="MI11" s="218"/>
      <c r="MJ11" s="218"/>
      <c r="MK11" s="218"/>
      <c r="ML11" s="218"/>
      <c r="MM11" s="218"/>
      <c r="MN11" s="218"/>
      <c r="MO11" s="218"/>
      <c r="MP11" s="218"/>
      <c r="MQ11" s="218"/>
      <c r="MR11" s="218"/>
      <c r="MS11" s="218"/>
      <c r="MT11" s="218"/>
      <c r="MU11" s="218"/>
      <c r="MV11" s="218"/>
      <c r="MW11" s="218"/>
      <c r="MX11" s="218"/>
      <c r="MY11" s="218"/>
      <c r="MZ11" s="218"/>
      <c r="NA11" s="218"/>
      <c r="NB11" s="218" t="s">
        <v>72</v>
      </c>
      <c r="NC11" s="218"/>
      <c r="ND11" s="218"/>
      <c r="NE11" s="218"/>
      <c r="NF11" s="218"/>
      <c r="NG11" s="218"/>
      <c r="NH11" s="218"/>
      <c r="NI11" s="218"/>
      <c r="NJ11" s="218"/>
      <c r="NK11" s="218"/>
      <c r="NL11" s="218"/>
      <c r="NM11" s="218"/>
      <c r="NN11" s="218"/>
      <c r="NO11" s="218"/>
      <c r="NP11" s="218"/>
      <c r="NQ11" s="218"/>
      <c r="NR11" s="218"/>
      <c r="NS11" s="218"/>
      <c r="NT11" s="218"/>
      <c r="NU11" s="218"/>
      <c r="NV11" s="218"/>
      <c r="NW11" s="218"/>
      <c r="NX11" s="218"/>
      <c r="NY11" s="218"/>
      <c r="NZ11" s="218"/>
      <c r="OA11" s="218"/>
      <c r="OB11" s="218"/>
      <c r="OC11" s="218"/>
      <c r="OD11" s="218"/>
      <c r="OE11" s="218"/>
      <c r="OF11" s="218"/>
      <c r="OG11" s="218"/>
      <c r="OH11" s="218"/>
      <c r="OI11" s="218"/>
      <c r="OJ11" s="218"/>
      <c r="OK11" s="218"/>
      <c r="OL11" s="218"/>
      <c r="OM11" s="218"/>
      <c r="ON11" s="218"/>
      <c r="OO11" s="218"/>
      <c r="OP11" s="218"/>
      <c r="OQ11" s="218"/>
      <c r="OR11" s="218"/>
      <c r="OS11" s="218"/>
      <c r="OT11" s="218"/>
      <c r="OU11" s="218"/>
      <c r="OV11" s="218"/>
      <c r="OW11" s="218"/>
      <c r="OX11" s="218"/>
      <c r="OY11" s="218"/>
      <c r="OZ11" s="218"/>
      <c r="PA11" s="218"/>
      <c r="PB11" s="218"/>
      <c r="PC11" s="218"/>
      <c r="PD11" s="218"/>
      <c r="PE11" s="218"/>
      <c r="PF11" s="218"/>
      <c r="PG11" s="218"/>
      <c r="PH11" s="218"/>
      <c r="PI11" s="218"/>
      <c r="PJ11" s="218" t="s">
        <v>71</v>
      </c>
      <c r="PK11" s="218"/>
      <c r="PL11" s="218"/>
      <c r="PM11" s="218"/>
      <c r="PN11" s="218"/>
      <c r="PO11" s="218"/>
      <c r="PP11" s="218"/>
      <c r="PQ11" s="218"/>
      <c r="PR11" s="218"/>
      <c r="PS11" s="218"/>
      <c r="PT11" s="218"/>
      <c r="PU11" s="218"/>
      <c r="PV11" s="218"/>
      <c r="PW11" s="218"/>
      <c r="PX11" s="218"/>
      <c r="PY11" s="218"/>
      <c r="PZ11" s="218"/>
      <c r="QA11" s="218"/>
      <c r="QB11" s="218"/>
      <c r="QC11" s="218"/>
      <c r="QD11" s="218"/>
      <c r="QE11" s="218"/>
      <c r="QF11" s="218"/>
      <c r="QG11" s="218"/>
      <c r="QH11" s="218"/>
      <c r="QI11" s="218"/>
      <c r="QJ11" s="218"/>
      <c r="QK11" s="218"/>
      <c r="QL11" s="218"/>
      <c r="QM11" s="218"/>
      <c r="QN11" s="218"/>
      <c r="QO11" s="218"/>
      <c r="QP11" s="218"/>
      <c r="QQ11" s="218"/>
      <c r="QR11" s="218"/>
      <c r="QS11" s="218"/>
      <c r="QT11" s="218"/>
      <c r="QU11" s="218"/>
      <c r="QV11" s="218"/>
      <c r="QW11" s="218"/>
      <c r="QX11" s="218"/>
      <c r="QY11" s="218"/>
      <c r="QZ11" s="218"/>
      <c r="RA11" s="218"/>
      <c r="RB11" s="218"/>
      <c r="RC11" s="218"/>
      <c r="RD11" s="218"/>
      <c r="RE11" s="218"/>
      <c r="RF11" s="218"/>
      <c r="RG11" s="218"/>
      <c r="RH11" s="218"/>
      <c r="RI11" s="218"/>
      <c r="RJ11" s="218"/>
      <c r="RK11" s="218"/>
      <c r="RL11" s="218"/>
      <c r="RM11" s="218"/>
      <c r="RN11" s="218"/>
      <c r="RO11" s="218"/>
      <c r="RP11" s="218"/>
      <c r="RQ11" s="218"/>
      <c r="RR11" s="218" t="s">
        <v>71</v>
      </c>
      <c r="RS11" s="218"/>
      <c r="RT11" s="218"/>
      <c r="RU11" s="218"/>
      <c r="RV11" s="218"/>
      <c r="RW11" s="218"/>
      <c r="RX11" s="218"/>
      <c r="RY11" s="218"/>
      <c r="RZ11" s="218"/>
      <c r="SA11" s="218"/>
      <c r="SB11" s="218"/>
      <c r="SC11" s="218"/>
      <c r="SD11" s="218"/>
      <c r="SE11" s="218"/>
      <c r="SF11" s="218"/>
      <c r="SG11" s="218"/>
      <c r="SH11" s="218"/>
      <c r="SI11" s="218"/>
      <c r="SJ11" s="218"/>
      <c r="SK11" s="218"/>
      <c r="SL11" s="218"/>
      <c r="SM11" s="218"/>
      <c r="SN11" s="218"/>
      <c r="SO11" s="218"/>
      <c r="SP11" s="218"/>
      <c r="SQ11" s="218"/>
      <c r="SR11" s="218"/>
      <c r="SS11" s="218"/>
      <c r="ST11" s="218"/>
      <c r="SU11" s="218"/>
      <c r="SV11" s="218"/>
      <c r="SW11" s="218"/>
      <c r="SX11" s="218"/>
      <c r="SY11" s="218"/>
      <c r="SZ11" s="218"/>
      <c r="TA11" s="218"/>
      <c r="TB11" s="218"/>
      <c r="TC11" s="218"/>
      <c r="TD11" s="218"/>
      <c r="TE11" s="218"/>
      <c r="TF11" s="218"/>
      <c r="TG11" s="218"/>
      <c r="TH11" s="218"/>
      <c r="TI11" s="218"/>
      <c r="TJ11" s="218"/>
      <c r="TK11" s="218"/>
      <c r="TL11" s="218"/>
      <c r="TM11" s="218"/>
      <c r="TN11" s="218"/>
      <c r="TO11" s="218"/>
      <c r="TP11" s="218"/>
      <c r="TQ11" s="218"/>
      <c r="TR11" s="218"/>
      <c r="TS11" s="218"/>
      <c r="TT11" s="218"/>
      <c r="TU11" s="218"/>
      <c r="TV11" s="218"/>
      <c r="TW11" s="218"/>
      <c r="TX11" s="218"/>
      <c r="TY11" s="218"/>
      <c r="TZ11" s="218" t="s">
        <v>70</v>
      </c>
      <c r="UA11" s="218"/>
      <c r="UB11" s="218"/>
      <c r="UC11" s="218"/>
      <c r="UD11" s="218"/>
      <c r="UE11" s="218"/>
      <c r="UF11" s="218"/>
      <c r="UG11" s="218"/>
      <c r="UH11" s="218"/>
      <c r="UI11" s="218"/>
      <c r="UJ11" s="218"/>
      <c r="UK11" s="218"/>
      <c r="UL11" s="218"/>
      <c r="UM11" s="218"/>
      <c r="UN11" s="218"/>
      <c r="UO11" s="218"/>
      <c r="UP11" s="218"/>
      <c r="UQ11" s="218"/>
      <c r="UR11" s="218"/>
      <c r="US11" s="218"/>
      <c r="UT11" s="218"/>
      <c r="UU11" s="218"/>
      <c r="UV11" s="218"/>
      <c r="UW11" s="218"/>
      <c r="UX11" s="218"/>
      <c r="UY11" s="218"/>
      <c r="UZ11" s="218"/>
      <c r="VA11" s="218"/>
      <c r="VB11" s="218"/>
      <c r="VC11" s="218"/>
      <c r="VD11" s="218"/>
      <c r="VE11" s="218"/>
      <c r="VF11" s="218"/>
      <c r="VG11" s="218"/>
      <c r="VH11" s="218"/>
      <c r="VI11" s="218"/>
      <c r="VJ11" s="218"/>
      <c r="VK11" s="218"/>
      <c r="VL11" s="218"/>
      <c r="VM11" s="218"/>
      <c r="VN11" s="218"/>
      <c r="VO11" s="218"/>
      <c r="VP11" s="218"/>
      <c r="VQ11" s="218"/>
      <c r="VR11" s="218"/>
      <c r="VS11" s="218"/>
      <c r="VT11" s="218"/>
      <c r="VU11" s="218"/>
      <c r="VV11" s="218"/>
      <c r="VW11" s="218"/>
      <c r="VX11" s="218"/>
      <c r="VY11" s="218"/>
      <c r="VZ11" s="218"/>
      <c r="WA11" s="218"/>
      <c r="WB11" s="218"/>
      <c r="WC11" s="218"/>
      <c r="WD11" s="218"/>
      <c r="WE11" s="218"/>
      <c r="WF11" s="218"/>
      <c r="WG11" s="218"/>
      <c r="WH11" s="218" t="s">
        <v>70</v>
      </c>
      <c r="WI11" s="218"/>
      <c r="WJ11" s="218"/>
      <c r="WK11" s="218"/>
      <c r="WL11" s="218"/>
      <c r="WM11" s="218"/>
      <c r="WN11" s="218"/>
      <c r="WO11" s="218"/>
      <c r="WP11" s="218"/>
      <c r="WQ11" s="218"/>
      <c r="WR11" s="218"/>
      <c r="WS11" s="218"/>
      <c r="WT11" s="218"/>
      <c r="WU11" s="218"/>
      <c r="WV11" s="218"/>
      <c r="WW11" s="218"/>
      <c r="WX11" s="218"/>
      <c r="WY11" s="218"/>
      <c r="WZ11" s="218"/>
      <c r="XA11" s="218"/>
      <c r="XB11" s="218"/>
      <c r="XC11" s="218"/>
      <c r="XD11" s="218"/>
      <c r="XE11" s="218"/>
      <c r="XF11" s="218"/>
      <c r="XG11" s="218"/>
      <c r="XH11" s="218"/>
      <c r="XI11" s="218"/>
      <c r="XJ11" s="218"/>
      <c r="XK11" s="218"/>
      <c r="XL11" s="218"/>
      <c r="XM11" s="218"/>
      <c r="XN11" s="218"/>
      <c r="XO11" s="218"/>
      <c r="XP11" s="218"/>
      <c r="XQ11" s="218"/>
      <c r="XR11" s="218"/>
      <c r="XS11" s="218"/>
      <c r="XT11" s="218"/>
      <c r="XU11" s="218"/>
      <c r="XV11" s="218"/>
      <c r="XW11" s="218"/>
      <c r="XX11" s="218"/>
      <c r="XY11" s="218"/>
      <c r="XZ11" s="218"/>
      <c r="YA11" s="218"/>
      <c r="YB11" s="218"/>
      <c r="YC11" s="218"/>
      <c r="YD11" s="218"/>
      <c r="YE11" s="218"/>
      <c r="YF11" s="218"/>
      <c r="YG11" s="218"/>
      <c r="YH11" s="218"/>
      <c r="YI11" s="218"/>
      <c r="YJ11" s="218"/>
      <c r="YK11" s="218"/>
      <c r="YL11" s="218"/>
      <c r="YM11" s="218"/>
      <c r="YN11" s="218"/>
      <c r="YO11" s="218"/>
      <c r="YP11" s="218" t="s">
        <v>67</v>
      </c>
      <c r="YQ11" s="218"/>
      <c r="YR11" s="218"/>
      <c r="YS11" s="218"/>
      <c r="YT11" s="218"/>
      <c r="YU11" s="218"/>
      <c r="YV11" s="218"/>
      <c r="YW11" s="218"/>
      <c r="YX11" s="218"/>
      <c r="YY11" s="218"/>
      <c r="YZ11" s="218"/>
      <c r="ZA11" s="218"/>
      <c r="ZB11" s="218"/>
      <c r="ZC11" s="218"/>
      <c r="ZD11" s="218"/>
      <c r="ZE11" s="218"/>
      <c r="ZF11" s="218"/>
      <c r="ZG11" s="218"/>
      <c r="ZH11" s="218"/>
      <c r="ZI11" s="218"/>
      <c r="ZJ11" s="218"/>
      <c r="ZK11" s="218"/>
      <c r="ZL11" s="218"/>
      <c r="ZM11" s="218"/>
      <c r="ZN11" s="218"/>
      <c r="ZO11" s="218"/>
      <c r="ZP11" s="218"/>
      <c r="ZQ11" s="218"/>
      <c r="ZR11" s="218"/>
      <c r="ZS11" s="218"/>
      <c r="ZT11" s="218"/>
      <c r="ZU11" s="218"/>
      <c r="ZV11" s="218"/>
      <c r="ZW11" s="218"/>
      <c r="ZX11" s="218"/>
      <c r="ZY11" s="218"/>
      <c r="ZZ11" s="218"/>
      <c r="AAA11" s="218"/>
      <c r="AAB11" s="218"/>
      <c r="AAC11" s="218"/>
      <c r="AAD11" s="218"/>
      <c r="AAE11" s="218"/>
      <c r="AAF11" s="218"/>
      <c r="AAG11" s="218"/>
      <c r="AAH11" s="218"/>
      <c r="AAI11" s="218"/>
      <c r="AAJ11" s="218"/>
      <c r="AAK11" s="218"/>
      <c r="AAL11" s="218"/>
      <c r="AAM11" s="218"/>
      <c r="AAN11" s="218"/>
      <c r="AAO11" s="218"/>
      <c r="AAP11" s="218"/>
      <c r="AAQ11" s="218"/>
      <c r="AAR11" s="218"/>
      <c r="AAS11" s="218"/>
      <c r="AAT11" s="218"/>
      <c r="AAU11" s="218"/>
      <c r="AAV11" s="218"/>
      <c r="AAW11" s="218"/>
      <c r="AAX11" s="218" t="s">
        <v>67</v>
      </c>
      <c r="AAY11" s="218"/>
      <c r="AAZ11" s="218"/>
      <c r="ABA11" s="218"/>
      <c r="ABB11" s="218"/>
      <c r="ABC11" s="218"/>
      <c r="ABD11" s="218"/>
      <c r="ABE11" s="218"/>
      <c r="ABF11" s="218"/>
      <c r="ABG11" s="218"/>
      <c r="ABH11" s="218"/>
      <c r="ABI11" s="218"/>
      <c r="ABJ11" s="218"/>
      <c r="ABK11" s="218"/>
      <c r="ABL11" s="218"/>
      <c r="ABM11" s="218"/>
      <c r="ABN11" s="218"/>
      <c r="ABO11" s="218"/>
      <c r="ABP11" s="218"/>
      <c r="ABQ11" s="218"/>
      <c r="ABR11" s="218"/>
      <c r="ABS11" s="218"/>
      <c r="ABT11" s="218"/>
      <c r="ABU11" s="218"/>
      <c r="ABV11" s="218"/>
      <c r="ABW11" s="218"/>
      <c r="ABX11" s="218"/>
      <c r="ABY11" s="218"/>
      <c r="ABZ11" s="218"/>
      <c r="ACA11" s="218"/>
      <c r="ACB11" s="218"/>
      <c r="ACC11" s="218"/>
      <c r="ACD11" s="218"/>
      <c r="ACE11" s="218"/>
      <c r="ACF11" s="218"/>
      <c r="ACG11" s="218"/>
      <c r="ACH11" s="218"/>
      <c r="ACI11" s="218"/>
      <c r="ACJ11" s="218"/>
      <c r="ACK11" s="218"/>
      <c r="ACL11" s="218"/>
      <c r="ACM11" s="218"/>
      <c r="ACN11" s="218"/>
      <c r="ACO11" s="218"/>
      <c r="ACP11" s="218"/>
      <c r="ACQ11" s="218"/>
      <c r="ACR11" s="218"/>
      <c r="ACS11" s="218"/>
      <c r="ACT11" s="218"/>
      <c r="ACU11" s="218"/>
      <c r="ACV11" s="218"/>
      <c r="ACW11" s="218"/>
      <c r="ACX11" s="218"/>
      <c r="ACY11" s="218"/>
      <c r="ACZ11" s="218"/>
      <c r="ADA11" s="218"/>
      <c r="ADB11" s="218"/>
      <c r="ADC11" s="218"/>
      <c r="ADD11" s="218"/>
      <c r="ADE11" s="218"/>
      <c r="ADF11" s="218" t="s">
        <v>64</v>
      </c>
      <c r="ADG11" s="218"/>
      <c r="ADH11" s="218"/>
      <c r="ADI11" s="218"/>
      <c r="ADJ11" s="218"/>
      <c r="ADK11" s="218"/>
      <c r="ADL11" s="218"/>
      <c r="ADM11" s="218"/>
      <c r="ADN11" s="218"/>
      <c r="ADO11" s="218"/>
      <c r="ADP11" s="218"/>
      <c r="ADQ11" s="218"/>
      <c r="ADR11" s="218"/>
      <c r="ADS11" s="218"/>
      <c r="ADT11" s="218"/>
      <c r="ADU11" s="218"/>
      <c r="ADV11" s="218"/>
      <c r="ADW11" s="218"/>
      <c r="ADX11" s="218"/>
      <c r="ADY11" s="218"/>
      <c r="ADZ11" s="218"/>
      <c r="AEA11" s="218"/>
      <c r="AEB11" s="218"/>
      <c r="AEC11" s="218"/>
      <c r="AED11" s="218"/>
      <c r="AEE11" s="218"/>
      <c r="AEF11" s="218"/>
      <c r="AEG11" s="218"/>
      <c r="AEH11" s="218"/>
      <c r="AEI11" s="218"/>
      <c r="AEJ11" s="218"/>
      <c r="AEK11" s="218"/>
      <c r="AEL11" s="218"/>
      <c r="AEM11" s="218"/>
      <c r="AEN11" s="218"/>
      <c r="AEO11" s="218"/>
      <c r="AEP11" s="218"/>
      <c r="AEQ11" s="218"/>
      <c r="AER11" s="218"/>
      <c r="AES11" s="218"/>
      <c r="AET11" s="218"/>
      <c r="AEU11" s="218"/>
      <c r="AEV11" s="218"/>
      <c r="AEW11" s="218"/>
      <c r="AEX11" s="218"/>
      <c r="AEY11" s="218"/>
      <c r="AEZ11" s="218"/>
      <c r="AFA11" s="218"/>
      <c r="AFB11" s="218"/>
      <c r="AFC11" s="218"/>
      <c r="AFD11" s="218"/>
      <c r="AFE11" s="218"/>
      <c r="AFF11" s="218"/>
      <c r="AFG11" s="218"/>
      <c r="AFH11" s="218"/>
      <c r="AFI11" s="218"/>
      <c r="AFJ11" s="218"/>
      <c r="AFK11" s="218"/>
      <c r="AFL11" s="218"/>
      <c r="AFM11" s="218"/>
      <c r="AFN11" s="218" t="s">
        <v>64</v>
      </c>
      <c r="AFO11" s="218"/>
      <c r="AFP11" s="218"/>
      <c r="AFQ11" s="218"/>
      <c r="AFR11" s="218"/>
      <c r="AFS11" s="218"/>
      <c r="AFT11" s="218"/>
      <c r="AFU11" s="218"/>
      <c r="AFV11" s="218"/>
      <c r="AFW11" s="218"/>
      <c r="AFX11" s="218"/>
      <c r="AFY11" s="218"/>
      <c r="AFZ11" s="218"/>
      <c r="AGA11" s="218"/>
      <c r="AGB11" s="218"/>
      <c r="AGC11" s="218"/>
      <c r="AGD11" s="218"/>
      <c r="AGE11" s="218"/>
      <c r="AGF11" s="218"/>
      <c r="AGG11" s="218"/>
      <c r="AGH11" s="218"/>
      <c r="AGI11" s="218"/>
      <c r="AGJ11" s="218"/>
      <c r="AGK11" s="218"/>
      <c r="AGL11" s="218"/>
      <c r="AGM11" s="218"/>
      <c r="AGN11" s="218"/>
      <c r="AGO11" s="218"/>
      <c r="AGP11" s="218"/>
      <c r="AGQ11" s="218"/>
      <c r="AGR11" s="218"/>
      <c r="AGS11" s="218"/>
      <c r="AGT11" s="218"/>
      <c r="AGU11" s="218"/>
      <c r="AGV11" s="218"/>
      <c r="AGW11" s="218"/>
      <c r="AGX11" s="218"/>
      <c r="AGY11" s="218"/>
      <c r="AGZ11" s="218"/>
      <c r="AHA11" s="218"/>
      <c r="AHB11" s="218"/>
      <c r="AHC11" s="218"/>
      <c r="AHD11" s="218"/>
      <c r="AHE11" s="218"/>
      <c r="AHF11" s="218"/>
      <c r="AHG11" s="218"/>
      <c r="AHH11" s="218"/>
      <c r="AHI11" s="218"/>
      <c r="AHJ11" s="218"/>
      <c r="AHK11" s="218"/>
      <c r="AHL11" s="218"/>
      <c r="AHM11" s="218"/>
      <c r="AHN11" s="218"/>
      <c r="AHO11" s="218"/>
      <c r="AHP11" s="218"/>
      <c r="AHQ11" s="218"/>
      <c r="AHR11" s="218"/>
      <c r="AHS11" s="218"/>
      <c r="AHT11" s="218"/>
      <c r="AHU11" s="218"/>
      <c r="AHV11" s="218" t="s">
        <v>62</v>
      </c>
      <c r="AHW11" s="218"/>
      <c r="AHX11" s="218"/>
      <c r="AHY11" s="218"/>
      <c r="AHZ11" s="218"/>
      <c r="AIA11" s="218"/>
      <c r="AIB11" s="218"/>
      <c r="AIC11" s="218"/>
      <c r="AID11" s="218"/>
      <c r="AIE11" s="218"/>
      <c r="AIF11" s="218"/>
      <c r="AIG11" s="218"/>
      <c r="AIH11" s="218"/>
      <c r="AII11" s="218"/>
      <c r="AIJ11" s="218"/>
      <c r="AIK11" s="218"/>
      <c r="AIL11" s="218"/>
      <c r="AIM11" s="218"/>
      <c r="AIN11" s="218"/>
      <c r="AIO11" s="218"/>
      <c r="AIP11" s="218"/>
      <c r="AIQ11" s="218"/>
      <c r="AIR11" s="218"/>
      <c r="AIS11" s="218"/>
      <c r="AIT11" s="218"/>
      <c r="AIU11" s="218"/>
      <c r="AIV11" s="218"/>
      <c r="AIW11" s="218"/>
      <c r="AIX11" s="218"/>
      <c r="AIY11" s="218"/>
      <c r="AIZ11" s="218"/>
      <c r="AJA11" s="218"/>
      <c r="AJB11" s="218"/>
      <c r="AJC11" s="218"/>
      <c r="AJD11" s="218"/>
      <c r="AJE11" s="218"/>
      <c r="AJF11" s="218"/>
      <c r="AJG11" s="218"/>
      <c r="AJH11" s="218"/>
      <c r="AJI11" s="218"/>
      <c r="AJJ11" s="218"/>
      <c r="AJK11" s="218"/>
      <c r="AJL11" s="218"/>
      <c r="AJM11" s="218"/>
      <c r="AJN11" s="218"/>
      <c r="AJO11" s="218"/>
      <c r="AJP11" s="218"/>
      <c r="AJQ11" s="218"/>
      <c r="AJR11" s="218"/>
      <c r="AJS11" s="218"/>
      <c r="AJT11" s="218"/>
      <c r="AJU11" s="218"/>
      <c r="AJV11" s="218"/>
      <c r="AJW11" s="218"/>
      <c r="AJX11" s="218"/>
      <c r="AJY11" s="218"/>
      <c r="AJZ11" s="218"/>
      <c r="AKA11" s="218"/>
      <c r="AKB11" s="218"/>
      <c r="AKC11" s="218"/>
      <c r="AKD11" s="218" t="s">
        <v>59</v>
      </c>
      <c r="AKE11" s="218"/>
      <c r="AKF11" s="218"/>
      <c r="AKG11" s="218"/>
      <c r="AKH11" s="218"/>
      <c r="AKI11" s="218"/>
      <c r="AKJ11" s="218"/>
      <c r="AKK11" s="218"/>
      <c r="AKL11" s="218"/>
      <c r="AKM11" s="218"/>
      <c r="AKN11" s="218"/>
      <c r="AKO11" s="218"/>
      <c r="AKP11" s="218"/>
      <c r="AKQ11" s="218"/>
      <c r="AKR11" s="218"/>
      <c r="AKS11" s="218"/>
      <c r="AKT11" s="218"/>
      <c r="AKU11" s="218"/>
      <c r="AKV11" s="218"/>
      <c r="AKW11" s="218"/>
      <c r="AKX11" s="218"/>
      <c r="AKY11" s="218"/>
      <c r="AKZ11" s="218"/>
      <c r="ALA11" s="218"/>
      <c r="ALB11" s="218"/>
      <c r="ALC11" s="218"/>
      <c r="ALD11" s="218"/>
      <c r="ALE11" s="218"/>
      <c r="ALF11" s="218"/>
      <c r="ALG11" s="218"/>
      <c r="ALH11" s="218"/>
      <c r="ALI11" s="218"/>
      <c r="ALJ11" s="218"/>
      <c r="ALK11" s="218"/>
      <c r="ALL11" s="218"/>
      <c r="ALM11" s="218"/>
      <c r="ALN11" s="218"/>
      <c r="ALO11" s="218"/>
      <c r="ALP11" s="218"/>
      <c r="ALQ11" s="218"/>
      <c r="ALR11" s="218"/>
      <c r="ALS11" s="218"/>
      <c r="ALT11" s="218"/>
      <c r="ALU11" s="218"/>
      <c r="ALV11" s="218"/>
      <c r="ALW11" s="218"/>
      <c r="ALX11" s="218"/>
      <c r="ALY11" s="218"/>
      <c r="ALZ11" s="218"/>
      <c r="AMA11" s="218"/>
      <c r="AMB11" s="218"/>
      <c r="AMC11" s="218"/>
      <c r="AMD11" s="218"/>
      <c r="AME11" s="218"/>
      <c r="AMF11" s="218"/>
      <c r="AMG11" s="218"/>
      <c r="AMH11" s="218"/>
      <c r="AMI11" s="218"/>
      <c r="AMJ11" s="218"/>
      <c r="AMK11" s="218"/>
      <c r="AML11" s="218" t="s">
        <v>59</v>
      </c>
      <c r="AMM11" s="218"/>
      <c r="AMN11" s="218"/>
      <c r="AMO11" s="218"/>
      <c r="AMP11" s="218"/>
      <c r="AMQ11" s="218"/>
      <c r="AMR11" s="218"/>
      <c r="AMS11" s="218"/>
      <c r="AMT11" s="218"/>
      <c r="AMU11" s="218"/>
      <c r="AMV11" s="218"/>
      <c r="AMW11" s="218"/>
      <c r="AMX11" s="218"/>
      <c r="AMY11" s="218"/>
      <c r="AMZ11" s="218"/>
      <c r="ANA11" s="218"/>
      <c r="ANB11" s="218"/>
      <c r="ANC11" s="218"/>
      <c r="AND11" s="218"/>
      <c r="ANE11" s="218"/>
      <c r="ANF11" s="218"/>
      <c r="ANG11" s="218"/>
      <c r="ANH11" s="218"/>
      <c r="ANI11" s="218"/>
      <c r="ANJ11" s="218"/>
      <c r="ANK11" s="218"/>
      <c r="ANL11" s="218"/>
      <c r="ANM11" s="218"/>
      <c r="ANN11" s="218"/>
      <c r="ANO11" s="218"/>
      <c r="ANP11" s="218"/>
      <c r="ANQ11" s="218"/>
      <c r="ANR11" s="218"/>
      <c r="ANS11" s="218"/>
      <c r="ANT11" s="218"/>
      <c r="ANU11" s="218"/>
      <c r="ANV11" s="218"/>
      <c r="ANW11" s="218"/>
      <c r="ANX11" s="218"/>
      <c r="ANY11" s="218"/>
      <c r="ANZ11" s="218"/>
      <c r="AOA11" s="218"/>
      <c r="AOB11" s="218"/>
      <c r="AOC11" s="218"/>
      <c r="AOD11" s="218"/>
      <c r="AOE11" s="218"/>
      <c r="AOF11" s="218"/>
      <c r="AOG11" s="218"/>
      <c r="AOH11" s="218"/>
      <c r="AOI11" s="218"/>
      <c r="AOJ11" s="218"/>
      <c r="AOK11" s="218"/>
      <c r="AOL11" s="218"/>
      <c r="AOM11" s="218"/>
      <c r="AON11" s="218"/>
      <c r="AOO11" s="218"/>
      <c r="AOP11" s="218"/>
      <c r="AOQ11" s="218"/>
      <c r="AOR11" s="218"/>
      <c r="AOS11" s="218"/>
      <c r="AOT11" s="218" t="s">
        <v>141</v>
      </c>
      <c r="AOU11" s="218"/>
      <c r="AOV11" s="218"/>
      <c r="AOW11" s="218"/>
      <c r="AOX11" s="218"/>
      <c r="AOY11" s="218"/>
      <c r="AOZ11" s="218"/>
      <c r="APA11" s="218"/>
      <c r="APB11" s="218"/>
      <c r="APC11" s="218"/>
      <c r="APD11" s="218"/>
      <c r="APE11" s="218"/>
      <c r="APF11" s="218"/>
      <c r="APG11" s="218"/>
      <c r="APH11" s="218"/>
      <c r="API11" s="218"/>
      <c r="APJ11" s="218"/>
      <c r="APK11" s="218"/>
      <c r="APL11" s="218"/>
      <c r="APM11" s="218"/>
      <c r="APN11" s="218"/>
      <c r="APO11" s="218"/>
      <c r="APP11" s="218"/>
      <c r="APQ11" s="218"/>
      <c r="APR11" s="218"/>
      <c r="APS11" s="218"/>
      <c r="APT11" s="218"/>
      <c r="APU11" s="218"/>
      <c r="APV11" s="218"/>
      <c r="APW11" s="218"/>
      <c r="APX11" s="218"/>
      <c r="APY11" s="218"/>
      <c r="APZ11" s="218"/>
      <c r="AQA11" s="218"/>
      <c r="AQB11" s="218"/>
      <c r="AQC11" s="218"/>
      <c r="AQD11" s="218"/>
      <c r="AQE11" s="218"/>
      <c r="AQF11" s="218"/>
      <c r="AQG11" s="218"/>
      <c r="AQH11" s="218"/>
      <c r="AQI11" s="218"/>
      <c r="AQJ11" s="218"/>
      <c r="AQK11" s="218"/>
      <c r="AQL11" s="218"/>
      <c r="AQM11" s="218"/>
      <c r="AQN11" s="218"/>
      <c r="AQO11" s="218"/>
      <c r="AQP11" s="218"/>
      <c r="AQQ11" s="218"/>
      <c r="AQR11" s="218"/>
      <c r="AQS11" s="218"/>
      <c r="AQT11" s="218"/>
      <c r="AQU11" s="218"/>
      <c r="AQV11" s="218"/>
      <c r="AQW11" s="218"/>
      <c r="AQX11" s="218"/>
      <c r="AQY11" s="218"/>
      <c r="AQZ11" s="218"/>
      <c r="ARA11" s="218"/>
      <c r="ARB11" s="218" t="s">
        <v>141</v>
      </c>
      <c r="ARC11" s="218"/>
      <c r="ARD11" s="218"/>
      <c r="ARE11" s="218"/>
      <c r="ARF11" s="218"/>
      <c r="ARG11" s="218"/>
      <c r="ARH11" s="218"/>
      <c r="ARI11" s="218"/>
      <c r="ARJ11" s="218"/>
      <c r="ARK11" s="218"/>
      <c r="ARL11" s="218"/>
      <c r="ARM11" s="218"/>
      <c r="ARN11" s="218"/>
      <c r="ARO11" s="218"/>
      <c r="ARP11" s="218"/>
      <c r="ARQ11" s="218"/>
      <c r="ARR11" s="218"/>
      <c r="ARS11" s="218"/>
      <c r="ART11" s="218"/>
      <c r="ARU11" s="218"/>
      <c r="ARV11" s="218"/>
      <c r="ARW11" s="218"/>
      <c r="ARX11" s="218"/>
      <c r="ARY11" s="218"/>
      <c r="ARZ11" s="218"/>
      <c r="ASA11" s="218"/>
      <c r="ASB11" s="218"/>
      <c r="ASC11" s="218"/>
      <c r="ASD11" s="218"/>
      <c r="ASE11" s="218"/>
      <c r="ASF11" s="218"/>
      <c r="ASG11" s="218"/>
      <c r="ASH11" s="218"/>
      <c r="ASI11" s="218"/>
      <c r="ASJ11" s="218"/>
      <c r="ASK11" s="218"/>
      <c r="ASL11" s="218"/>
      <c r="ASM11" s="218"/>
      <c r="ASN11" s="218"/>
      <c r="ASO11" s="218"/>
      <c r="ASP11" s="218"/>
      <c r="ASQ11" s="218"/>
      <c r="ASR11" s="218"/>
      <c r="ASS11" s="218"/>
      <c r="AST11" s="218"/>
      <c r="ASU11" s="218"/>
      <c r="ASV11" s="218"/>
      <c r="ASW11" s="218"/>
      <c r="ASX11" s="218"/>
      <c r="ASY11" s="218"/>
      <c r="ASZ11" s="218"/>
      <c r="ATA11" s="218"/>
      <c r="ATB11" s="218"/>
      <c r="ATC11" s="218"/>
      <c r="ATD11" s="218"/>
      <c r="ATE11" s="218"/>
      <c r="ATF11" s="218"/>
      <c r="ATG11" s="218"/>
      <c r="ATH11" s="218"/>
      <c r="ATI11" s="218"/>
      <c r="ATJ11" s="218" t="s">
        <v>139</v>
      </c>
      <c r="ATK11" s="218"/>
      <c r="ATL11" s="218"/>
      <c r="ATM11" s="218"/>
      <c r="ATN11" s="218"/>
      <c r="ATO11" s="218"/>
      <c r="ATP11" s="218"/>
      <c r="ATQ11" s="218"/>
      <c r="ATR11" s="218"/>
      <c r="ATS11" s="218"/>
      <c r="ATT11" s="218"/>
      <c r="ATU11" s="218"/>
      <c r="ATV11" s="218"/>
      <c r="ATW11" s="218"/>
      <c r="ATX11" s="218"/>
      <c r="ATY11" s="218"/>
      <c r="ATZ11" s="218"/>
      <c r="AUA11" s="218"/>
      <c r="AUB11" s="218"/>
      <c r="AUC11" s="218"/>
      <c r="AUD11" s="218"/>
      <c r="AUE11" s="218"/>
      <c r="AUF11" s="218"/>
      <c r="AUG11" s="218"/>
      <c r="AUH11" s="218"/>
      <c r="AUI11" s="218"/>
      <c r="AUJ11" s="218"/>
      <c r="AUK11" s="218"/>
      <c r="AUL11" s="218"/>
      <c r="AUM11" s="218"/>
      <c r="AUN11" s="218"/>
      <c r="AUO11" s="218"/>
      <c r="AUP11" s="218"/>
      <c r="AUQ11" s="218"/>
      <c r="AUR11" s="218"/>
      <c r="AUS11" s="218"/>
      <c r="AUT11" s="218"/>
      <c r="AUU11" s="218"/>
      <c r="AUV11" s="218"/>
      <c r="AUW11" s="218"/>
      <c r="AUX11" s="218"/>
      <c r="AUY11" s="218"/>
      <c r="AUZ11" s="218"/>
      <c r="AVA11" s="218"/>
      <c r="AVB11" s="218"/>
      <c r="AVC11" s="218"/>
      <c r="AVD11" s="218"/>
      <c r="AVE11" s="218"/>
      <c r="AVF11" s="218"/>
      <c r="AVG11" s="218"/>
      <c r="AVH11" s="218"/>
      <c r="AVI11" s="218"/>
      <c r="AVJ11" s="218"/>
      <c r="AVK11" s="218"/>
      <c r="AVL11" s="218"/>
      <c r="AVM11" s="218"/>
      <c r="AVN11" s="218"/>
      <c r="AVO11" s="218"/>
      <c r="AVP11" s="218"/>
      <c r="AVQ11" s="218"/>
      <c r="AVR11" s="218" t="s">
        <v>136</v>
      </c>
      <c r="AVS11" s="218"/>
      <c r="AVT11" s="218"/>
      <c r="AVU11" s="218"/>
      <c r="AVV11" s="218"/>
      <c r="AVW11" s="218"/>
      <c r="AVX11" s="218"/>
      <c r="AVY11" s="218"/>
      <c r="AVZ11" s="218"/>
      <c r="AWA11" s="218"/>
      <c r="AWB11" s="218"/>
      <c r="AWC11" s="218"/>
      <c r="AWD11" s="218"/>
      <c r="AWE11" s="218"/>
      <c r="AWF11" s="218"/>
      <c r="AWG11" s="218"/>
      <c r="AWH11" s="218"/>
      <c r="AWI11" s="218"/>
      <c r="AWJ11" s="218"/>
      <c r="AWK11" s="218"/>
      <c r="AWL11" s="218"/>
      <c r="AWM11" s="218"/>
      <c r="AWN11" s="218"/>
      <c r="AWO11" s="218"/>
      <c r="AWP11" s="218"/>
      <c r="AWQ11" s="218"/>
      <c r="AWR11" s="218"/>
      <c r="AWS11" s="218"/>
      <c r="AWT11" s="218"/>
      <c r="AWU11" s="218"/>
      <c r="AWV11" s="218"/>
      <c r="AWW11" s="218"/>
      <c r="AWX11" s="218"/>
      <c r="AWY11" s="218"/>
      <c r="AWZ11" s="218"/>
      <c r="AXA11" s="218"/>
      <c r="AXB11" s="218"/>
      <c r="AXC11" s="218"/>
      <c r="AXD11" s="218"/>
      <c r="AXE11" s="218"/>
      <c r="AXF11" s="218"/>
      <c r="AXG11" s="218"/>
      <c r="AXH11" s="218"/>
      <c r="AXI11" s="218"/>
      <c r="AXJ11" s="218"/>
      <c r="AXK11" s="218"/>
      <c r="AXL11" s="218"/>
      <c r="AXM11" s="218"/>
      <c r="AXN11" s="218"/>
      <c r="AXO11" s="218"/>
      <c r="AXP11" s="218"/>
      <c r="AXQ11" s="218"/>
      <c r="AXR11" s="218"/>
      <c r="AXS11" s="218"/>
      <c r="AXT11" s="218"/>
      <c r="AXU11" s="218"/>
      <c r="AXV11" s="218"/>
      <c r="AXW11" s="218"/>
      <c r="AXX11" s="218"/>
      <c r="AXY11" s="218"/>
      <c r="AXZ11" s="218" t="s">
        <v>136</v>
      </c>
      <c r="AYA11" s="218"/>
      <c r="AYB11" s="218"/>
      <c r="AYC11" s="218"/>
      <c r="AYD11" s="218"/>
      <c r="AYE11" s="218"/>
      <c r="AYF11" s="218"/>
      <c r="AYG11" s="218"/>
      <c r="AYH11" s="218"/>
      <c r="AYI11" s="218"/>
      <c r="AYJ11" s="218"/>
      <c r="AYK11" s="218"/>
      <c r="AYL11" s="218"/>
      <c r="AYM11" s="218"/>
      <c r="AYN11" s="218"/>
      <c r="AYO11" s="218"/>
      <c r="AYP11" s="218"/>
      <c r="AYQ11" s="218"/>
      <c r="AYR11" s="218"/>
      <c r="AYS11" s="218"/>
      <c r="AYT11" s="218"/>
      <c r="AYU11" s="218"/>
      <c r="AYV11" s="218"/>
      <c r="AYW11" s="218"/>
      <c r="AYX11" s="218"/>
      <c r="AYY11" s="218"/>
      <c r="AYZ11" s="218"/>
      <c r="AZA11" s="218"/>
      <c r="AZB11" s="218"/>
      <c r="AZC11" s="218"/>
      <c r="AZD11" s="218"/>
      <c r="AZE11" s="218"/>
      <c r="AZF11" s="218"/>
      <c r="AZG11" s="218"/>
      <c r="AZH11" s="218"/>
      <c r="AZI11" s="218"/>
      <c r="AZJ11" s="218"/>
      <c r="AZK11" s="218"/>
      <c r="AZL11" s="218"/>
      <c r="AZM11" s="218"/>
      <c r="AZN11" s="218"/>
      <c r="AZO11" s="218"/>
      <c r="AZP11" s="218"/>
      <c r="AZQ11" s="218"/>
      <c r="AZR11" s="218"/>
      <c r="AZS11" s="218"/>
      <c r="AZT11" s="218"/>
      <c r="AZU11" s="218"/>
      <c r="AZV11" s="218"/>
      <c r="AZW11" s="218"/>
      <c r="AZX11" s="218"/>
      <c r="AZY11" s="218"/>
      <c r="AZZ11" s="218"/>
      <c r="BAA11" s="218"/>
      <c r="BAB11" s="218"/>
      <c r="BAC11" s="218"/>
      <c r="BAD11" s="218"/>
      <c r="BAE11" s="218"/>
      <c r="BAF11" s="218"/>
      <c r="BAG11" s="218"/>
      <c r="BAH11" s="218" t="s">
        <v>133</v>
      </c>
      <c r="BAI11" s="218"/>
      <c r="BAJ11" s="218"/>
      <c r="BAK11" s="218"/>
      <c r="BAL11" s="218"/>
      <c r="BAM11" s="218"/>
      <c r="BAN11" s="218"/>
      <c r="BAO11" s="218"/>
      <c r="BAP11" s="218"/>
      <c r="BAQ11" s="218"/>
      <c r="BAR11" s="218"/>
      <c r="BAS11" s="218"/>
      <c r="BAT11" s="218"/>
      <c r="BAU11" s="218"/>
      <c r="BAV11" s="218"/>
      <c r="BAW11" s="218"/>
      <c r="BAX11" s="218"/>
      <c r="BAY11" s="218"/>
      <c r="BAZ11" s="218"/>
      <c r="BBA11" s="218"/>
      <c r="BBB11" s="218"/>
      <c r="BBC11" s="218"/>
      <c r="BBD11" s="218"/>
      <c r="BBE11" s="218"/>
      <c r="BBF11" s="218"/>
      <c r="BBG11" s="218"/>
      <c r="BBH11" s="218"/>
      <c r="BBI11" s="218"/>
      <c r="BBJ11" s="218"/>
      <c r="BBK11" s="218"/>
      <c r="BBL11" s="218"/>
      <c r="BBM11" s="218"/>
      <c r="BBN11" s="218"/>
      <c r="BBO11" s="218"/>
      <c r="BBP11" s="218"/>
      <c r="BBQ11" s="218"/>
      <c r="BBR11" s="218"/>
      <c r="BBS11" s="218"/>
      <c r="BBT11" s="218"/>
      <c r="BBU11" s="218"/>
      <c r="BBV11" s="218"/>
      <c r="BBW11" s="218"/>
      <c r="BBX11" s="218"/>
      <c r="BBY11" s="218"/>
      <c r="BBZ11" s="218"/>
      <c r="BCA11" s="218"/>
      <c r="BCB11" s="218"/>
      <c r="BCC11" s="218"/>
      <c r="BCD11" s="218"/>
      <c r="BCE11" s="218"/>
      <c r="BCF11" s="218"/>
      <c r="BCG11" s="218"/>
      <c r="BCH11" s="218"/>
      <c r="BCI11" s="218"/>
      <c r="BCJ11" s="218"/>
      <c r="BCK11" s="218"/>
      <c r="BCL11" s="218"/>
      <c r="BCM11" s="218"/>
      <c r="BCN11" s="218"/>
      <c r="BCO11" s="218"/>
      <c r="BCP11" s="218" t="s">
        <v>133</v>
      </c>
      <c r="BCQ11" s="218"/>
      <c r="BCR11" s="218"/>
      <c r="BCS11" s="218"/>
      <c r="BCT11" s="218"/>
      <c r="BCU11" s="218"/>
      <c r="BCV11" s="218"/>
      <c r="BCW11" s="218"/>
      <c r="BCX11" s="218"/>
      <c r="BCY11" s="218"/>
      <c r="BCZ11" s="218"/>
      <c r="BDA11" s="218"/>
      <c r="BDB11" s="218"/>
      <c r="BDC11" s="218"/>
      <c r="BDD11" s="218"/>
      <c r="BDE11" s="218"/>
      <c r="BDF11" s="218"/>
      <c r="BDG11" s="218"/>
      <c r="BDH11" s="218"/>
      <c r="BDI11" s="218"/>
      <c r="BDJ11" s="218"/>
      <c r="BDK11" s="218"/>
      <c r="BDL11" s="218"/>
      <c r="BDM11" s="218"/>
      <c r="BDN11" s="218"/>
      <c r="BDO11" s="218"/>
      <c r="BDP11" s="218"/>
      <c r="BDQ11" s="218"/>
      <c r="BDR11" s="218"/>
      <c r="BDS11" s="218"/>
      <c r="BDT11" s="218"/>
      <c r="BDU11" s="218"/>
      <c r="BDV11" s="218"/>
      <c r="BDW11" s="218"/>
      <c r="BDX11" s="218"/>
      <c r="BDY11" s="218"/>
      <c r="BDZ11" s="218"/>
      <c r="BEA11" s="218"/>
      <c r="BEB11" s="218"/>
      <c r="BEC11" s="218"/>
      <c r="BED11" s="218"/>
      <c r="BEE11" s="218"/>
      <c r="BEF11" s="218"/>
      <c r="BEG11" s="218"/>
      <c r="BEH11" s="218"/>
      <c r="BEI11" s="218"/>
      <c r="BEJ11" s="218"/>
      <c r="BEK11" s="218"/>
      <c r="BEL11" s="218"/>
      <c r="BEM11" s="218"/>
      <c r="BEN11" s="218"/>
      <c r="BEO11" s="218"/>
      <c r="BEP11" s="218"/>
      <c r="BEQ11" s="218"/>
      <c r="BER11" s="218"/>
      <c r="BES11" s="218"/>
      <c r="BET11" s="218"/>
      <c r="BEU11" s="218"/>
      <c r="BEV11" s="218"/>
      <c r="BEW11" s="218"/>
      <c r="BEX11" s="218" t="s">
        <v>131</v>
      </c>
      <c r="BEY11" s="218"/>
      <c r="BEZ11" s="218"/>
      <c r="BFA11" s="218"/>
      <c r="BFB11" s="218"/>
      <c r="BFC11" s="218"/>
      <c r="BFD11" s="218"/>
      <c r="BFE11" s="218"/>
      <c r="BFF11" s="218"/>
      <c r="BFG11" s="218"/>
      <c r="BFH11" s="218"/>
      <c r="BFI11" s="218"/>
      <c r="BFJ11" s="218"/>
      <c r="BFK11" s="218"/>
      <c r="BFL11" s="218"/>
      <c r="BFM11" s="218"/>
      <c r="BFN11" s="218"/>
      <c r="BFO11" s="218"/>
      <c r="BFP11" s="218"/>
      <c r="BFQ11" s="218"/>
      <c r="BFR11" s="218"/>
      <c r="BFS11" s="218"/>
      <c r="BFT11" s="218"/>
      <c r="BFU11" s="218"/>
      <c r="BFV11" s="218"/>
      <c r="BFW11" s="218"/>
      <c r="BFX11" s="218"/>
      <c r="BFY11" s="218"/>
      <c r="BFZ11" s="218"/>
      <c r="BGA11" s="218"/>
      <c r="BGB11" s="218"/>
      <c r="BGC11" s="218"/>
      <c r="BGD11" s="218"/>
      <c r="BGE11" s="218"/>
      <c r="BGF11" s="218"/>
      <c r="BGG11" s="218"/>
      <c r="BGH11" s="218"/>
      <c r="BGI11" s="218"/>
      <c r="BGJ11" s="218"/>
      <c r="BGK11" s="218"/>
      <c r="BGL11" s="218"/>
      <c r="BGM11" s="218"/>
      <c r="BGN11" s="218"/>
      <c r="BGO11" s="218"/>
      <c r="BGP11" s="218"/>
      <c r="BGQ11" s="218"/>
      <c r="BGR11" s="218"/>
      <c r="BGS11" s="218"/>
      <c r="BGT11" s="218"/>
      <c r="BGU11" s="218"/>
      <c r="BGV11" s="218"/>
      <c r="BGW11" s="218"/>
      <c r="BGX11" s="218"/>
      <c r="BGY11" s="218"/>
      <c r="BGZ11" s="218"/>
      <c r="BHA11" s="218"/>
      <c r="BHB11" s="218"/>
      <c r="BHC11" s="218"/>
      <c r="BHD11" s="218"/>
      <c r="BHE11" s="218"/>
      <c r="BHF11" s="218" t="s">
        <v>131</v>
      </c>
      <c r="BHG11" s="218"/>
      <c r="BHH11" s="218"/>
      <c r="BHI11" s="218"/>
      <c r="BHJ11" s="218"/>
      <c r="BHK11" s="218"/>
      <c r="BHL11" s="218"/>
      <c r="BHM11" s="218"/>
      <c r="BHN11" s="218"/>
      <c r="BHO11" s="218"/>
      <c r="BHP11" s="218"/>
      <c r="BHQ11" s="218"/>
      <c r="BHR11" s="218"/>
      <c r="BHS11" s="218"/>
      <c r="BHT11" s="218"/>
      <c r="BHU11" s="218"/>
      <c r="BHV11" s="218"/>
      <c r="BHW11" s="218"/>
      <c r="BHX11" s="218"/>
      <c r="BHY11" s="218"/>
      <c r="BHZ11" s="218"/>
      <c r="BIA11" s="218"/>
      <c r="BIB11" s="218"/>
      <c r="BIC11" s="218"/>
      <c r="BID11" s="218"/>
      <c r="BIE11" s="218"/>
      <c r="BIF11" s="218"/>
      <c r="BIG11" s="218"/>
      <c r="BIH11" s="218"/>
      <c r="BII11" s="218"/>
      <c r="BIJ11" s="218"/>
      <c r="BIK11" s="218"/>
      <c r="BIL11" s="218"/>
      <c r="BIM11" s="218"/>
      <c r="BIN11" s="218"/>
      <c r="BIO11" s="218"/>
      <c r="BIP11" s="218"/>
      <c r="BIQ11" s="218"/>
      <c r="BIR11" s="218"/>
      <c r="BIS11" s="218"/>
      <c r="BIT11" s="218"/>
      <c r="BIU11" s="218"/>
      <c r="BIV11" s="218"/>
      <c r="BIW11" s="218"/>
      <c r="BIX11" s="218"/>
      <c r="BIY11" s="218"/>
      <c r="BIZ11" s="218"/>
      <c r="BJA11" s="218"/>
      <c r="BJB11" s="218"/>
      <c r="BJC11" s="218"/>
      <c r="BJD11" s="218"/>
      <c r="BJE11" s="218"/>
      <c r="BJF11" s="218"/>
      <c r="BJG11" s="218"/>
      <c r="BJH11" s="218"/>
      <c r="BJI11" s="218"/>
      <c r="BJJ11" s="218"/>
      <c r="BJK11" s="218"/>
      <c r="BJL11" s="218"/>
      <c r="BJM11" s="218"/>
      <c r="BJN11" s="218" t="s">
        <v>133</v>
      </c>
      <c r="BJO11" s="218"/>
      <c r="BJP11" s="218"/>
      <c r="BJQ11" s="218"/>
      <c r="BJR11" s="218"/>
      <c r="BJS11" s="218"/>
      <c r="BJT11" s="218"/>
      <c r="BJU11" s="218"/>
      <c r="BJV11" s="218"/>
      <c r="BJW11" s="218"/>
      <c r="BJX11" s="218"/>
      <c r="BJY11" s="218"/>
      <c r="BJZ11" s="218"/>
      <c r="BKA11" s="218"/>
      <c r="BKB11" s="218"/>
      <c r="BKC11" s="218"/>
      <c r="BKD11" s="218"/>
      <c r="BKE11" s="218"/>
      <c r="BKF11" s="218"/>
      <c r="BKG11" s="218"/>
      <c r="BKH11" s="218"/>
      <c r="BKI11" s="218"/>
      <c r="BKJ11" s="218"/>
      <c r="BKK11" s="218"/>
      <c r="BKL11" s="218"/>
      <c r="BKM11" s="218"/>
      <c r="BKN11" s="218"/>
      <c r="BKO11" s="218"/>
      <c r="BKP11" s="218"/>
      <c r="BKQ11" s="218"/>
      <c r="BKR11" s="218"/>
      <c r="BKS11" s="218"/>
      <c r="BKT11" s="218"/>
      <c r="BKU11" s="218"/>
      <c r="BKV11" s="218"/>
      <c r="BKW11" s="218"/>
      <c r="BKX11" s="218"/>
      <c r="BKY11" s="218"/>
      <c r="BKZ11" s="218"/>
      <c r="BLA11" s="218"/>
      <c r="BLB11" s="218"/>
      <c r="BLC11" s="218"/>
      <c r="BLD11" s="218"/>
      <c r="BLE11" s="218"/>
      <c r="BLF11" s="218"/>
      <c r="BLG11" s="218"/>
      <c r="BLH11" s="218"/>
      <c r="BLI11" s="218"/>
      <c r="BLJ11" s="218"/>
      <c r="BLK11" s="218"/>
      <c r="BLL11" s="218"/>
      <c r="BLM11" s="218"/>
      <c r="BLN11" s="218"/>
      <c r="BLO11" s="218"/>
      <c r="BLP11" s="218"/>
      <c r="BLQ11" s="218"/>
      <c r="BLR11" s="218"/>
      <c r="BLS11" s="218"/>
      <c r="BLT11" s="218"/>
      <c r="BLU11" s="218"/>
      <c r="BLV11" s="218" t="s">
        <v>131</v>
      </c>
      <c r="BLW11" s="218"/>
      <c r="BLX11" s="218"/>
      <c r="BLY11" s="218"/>
      <c r="BLZ11" s="218"/>
      <c r="BMA11" s="218"/>
      <c r="BMB11" s="218"/>
      <c r="BMC11" s="218"/>
      <c r="BMD11" s="218"/>
      <c r="BME11" s="218"/>
      <c r="BMF11" s="218"/>
      <c r="BMG11" s="218"/>
      <c r="BMH11" s="218"/>
      <c r="BMI11" s="218"/>
      <c r="BMJ11" s="218"/>
      <c r="BMK11" s="218"/>
      <c r="BML11" s="218"/>
      <c r="BMM11" s="218"/>
      <c r="BMN11" s="218"/>
      <c r="BMO11" s="218"/>
      <c r="BMP11" s="218"/>
      <c r="BMQ11" s="218"/>
      <c r="BMR11" s="218"/>
      <c r="BMS11" s="218"/>
      <c r="BMT11" s="218"/>
      <c r="BMU11" s="218"/>
      <c r="BMV11" s="218"/>
      <c r="BMW11" s="218"/>
      <c r="BMX11" s="218"/>
      <c r="BMY11" s="218"/>
      <c r="BMZ11" s="218"/>
      <c r="BNA11" s="218"/>
      <c r="BNB11" s="218"/>
      <c r="BNC11" s="218"/>
      <c r="BND11" s="218"/>
      <c r="BNE11" s="218"/>
      <c r="BNF11" s="218"/>
      <c r="BNG11" s="218"/>
      <c r="BNH11" s="218"/>
      <c r="BNI11" s="218"/>
      <c r="BNJ11" s="218"/>
      <c r="BNK11" s="218"/>
      <c r="BNL11" s="218"/>
      <c r="BNM11" s="218"/>
      <c r="BNN11" s="218"/>
      <c r="BNO11" s="218"/>
      <c r="BNP11" s="218"/>
      <c r="BNQ11" s="218"/>
      <c r="BNR11" s="218"/>
      <c r="BNS11" s="218"/>
      <c r="BNT11" s="218"/>
      <c r="BNU11" s="218"/>
      <c r="BNV11" s="218"/>
      <c r="BNW11" s="218"/>
      <c r="BNX11" s="218"/>
      <c r="BNY11" s="218"/>
      <c r="BNZ11" s="218"/>
      <c r="BOA11" s="218"/>
      <c r="BOB11" s="218"/>
      <c r="BOC11" s="218"/>
      <c r="BOD11" s="218" t="s">
        <v>131</v>
      </c>
      <c r="BOE11" s="218"/>
      <c r="BOF11" s="218"/>
      <c r="BOG11" s="218"/>
      <c r="BOH11" s="218"/>
      <c r="BOI11" s="218"/>
      <c r="BOJ11" s="218"/>
      <c r="BOK11" s="218"/>
      <c r="BOL11" s="218"/>
      <c r="BOM11" s="218"/>
      <c r="BON11" s="218"/>
      <c r="BOO11" s="218"/>
      <c r="BOP11" s="218"/>
      <c r="BOQ11" s="218"/>
      <c r="BOR11" s="218"/>
      <c r="BOS11" s="218"/>
      <c r="BOT11" s="218"/>
      <c r="BOU11" s="218"/>
      <c r="BOV11" s="218"/>
      <c r="BOW11" s="218"/>
      <c r="BOX11" s="218"/>
      <c r="BOY11" s="218"/>
      <c r="BOZ11" s="218"/>
      <c r="BPA11" s="218"/>
      <c r="BPB11" s="218"/>
      <c r="BPC11" s="218"/>
      <c r="BPD11" s="218"/>
      <c r="BPE11" s="218"/>
      <c r="BPF11" s="218"/>
      <c r="BPG11" s="218"/>
      <c r="BPH11" s="218"/>
      <c r="BPI11" s="218"/>
      <c r="BPJ11" s="218"/>
      <c r="BPK11" s="218"/>
      <c r="BPL11" s="218"/>
      <c r="BPM11" s="218"/>
      <c r="BPN11" s="218"/>
      <c r="BPO11" s="218"/>
      <c r="BPP11" s="218"/>
      <c r="BPQ11" s="218"/>
      <c r="BPR11" s="218"/>
      <c r="BPS11" s="218"/>
      <c r="BPT11" s="218"/>
      <c r="BPU11" s="218"/>
      <c r="BPV11" s="218"/>
      <c r="BPW11" s="218"/>
      <c r="BPX11" s="218"/>
      <c r="BPY11" s="218"/>
      <c r="BPZ11" s="218"/>
      <c r="BQA11" s="218"/>
      <c r="BQB11" s="218"/>
      <c r="BQC11" s="218"/>
      <c r="BQD11" s="218"/>
      <c r="BQE11" s="218"/>
      <c r="BQF11" s="218"/>
      <c r="BQG11" s="218"/>
      <c r="BQH11" s="218"/>
      <c r="BQI11" s="218"/>
      <c r="BQJ11" s="218"/>
      <c r="BQK11" s="218"/>
    </row>
    <row r="12" spans="1:1805" ht="15.75" customHeight="1" thickBot="1" x14ac:dyDescent="0.3">
      <c r="B12" s="81"/>
      <c r="C12" s="240"/>
      <c r="D12" s="240"/>
      <c r="E12" s="240"/>
      <c r="F12" s="234" t="s">
        <v>47</v>
      </c>
      <c r="G12" s="234"/>
      <c r="H12" s="234"/>
      <c r="I12" s="234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234"/>
      <c r="Z12" s="234"/>
      <c r="AA12" s="234"/>
      <c r="AB12" s="234"/>
      <c r="AC12" s="234"/>
      <c r="AD12" s="234"/>
      <c r="AE12" s="234"/>
      <c r="AF12" s="234"/>
      <c r="AG12" s="234"/>
      <c r="AH12" s="234"/>
      <c r="AI12" s="234"/>
      <c r="AJ12" s="234"/>
      <c r="AK12" s="234"/>
      <c r="AL12" s="234"/>
      <c r="AM12" s="234"/>
      <c r="AN12" s="234"/>
      <c r="AO12" s="234"/>
      <c r="AP12" s="234"/>
      <c r="AQ12" s="234"/>
      <c r="AR12" s="234"/>
      <c r="AS12" s="234"/>
      <c r="AT12" s="234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 t="s">
        <v>46</v>
      </c>
      <c r="BO12" s="234"/>
      <c r="BP12" s="234"/>
      <c r="BQ12" s="234"/>
      <c r="BR12" s="234"/>
      <c r="BS12" s="234"/>
      <c r="BT12" s="234"/>
      <c r="BU12" s="234"/>
      <c r="BV12" s="234"/>
      <c r="BW12" s="234"/>
      <c r="BX12" s="234"/>
      <c r="BY12" s="234"/>
      <c r="BZ12" s="234"/>
      <c r="CA12" s="234"/>
      <c r="CB12" s="234"/>
      <c r="CC12" s="234"/>
      <c r="CD12" s="234"/>
      <c r="CE12" s="234"/>
      <c r="CF12" s="234"/>
      <c r="CG12" s="234"/>
      <c r="CH12" s="234"/>
      <c r="CI12" s="234"/>
      <c r="CJ12" s="234"/>
      <c r="CK12" s="234"/>
      <c r="CL12" s="234"/>
      <c r="CM12" s="234"/>
      <c r="CN12" s="234"/>
      <c r="CO12" s="234"/>
      <c r="CP12" s="234"/>
      <c r="CQ12" s="234"/>
      <c r="CR12" s="234"/>
      <c r="CS12" s="234"/>
      <c r="CT12" s="234"/>
      <c r="CU12" s="234"/>
      <c r="CV12" s="234"/>
      <c r="CW12" s="234"/>
      <c r="CX12" s="234"/>
      <c r="CY12" s="234"/>
      <c r="CZ12" s="234"/>
      <c r="DA12" s="234"/>
      <c r="DB12" s="234"/>
      <c r="DC12" s="234"/>
      <c r="DD12" s="234"/>
      <c r="DE12" s="234"/>
      <c r="DF12" s="234"/>
      <c r="DG12" s="234"/>
      <c r="DH12" s="234"/>
      <c r="DI12" s="234"/>
      <c r="DJ12" s="234"/>
      <c r="DK12" s="234"/>
      <c r="DL12" s="234"/>
      <c r="DM12" s="234"/>
      <c r="DN12" s="234"/>
      <c r="DO12" s="234"/>
      <c r="DP12" s="234"/>
      <c r="DQ12" s="234"/>
      <c r="DR12" s="234"/>
      <c r="DS12" s="234"/>
      <c r="DT12" s="234"/>
      <c r="DU12" s="234"/>
      <c r="DV12" s="219" t="s">
        <v>47</v>
      </c>
      <c r="DW12" s="219"/>
      <c r="DX12" s="219"/>
      <c r="DY12" s="219"/>
      <c r="DZ12" s="219"/>
      <c r="EA12" s="219"/>
      <c r="EB12" s="219"/>
      <c r="EC12" s="219"/>
      <c r="ED12" s="219"/>
      <c r="EE12" s="219"/>
      <c r="EF12" s="219"/>
      <c r="EG12" s="219"/>
      <c r="EH12" s="219"/>
      <c r="EI12" s="219"/>
      <c r="EJ12" s="219"/>
      <c r="EK12" s="219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219"/>
      <c r="FN12" s="219"/>
      <c r="FO12" s="219"/>
      <c r="FP12" s="219"/>
      <c r="FQ12" s="219"/>
      <c r="FR12" s="219"/>
      <c r="FS12" s="219"/>
      <c r="FT12" s="219"/>
      <c r="FU12" s="219"/>
      <c r="FV12" s="219"/>
      <c r="FW12" s="219"/>
      <c r="FX12" s="219"/>
      <c r="FY12" s="219"/>
      <c r="FZ12" s="219"/>
      <c r="GA12" s="219"/>
      <c r="GB12" s="219"/>
      <c r="GC12" s="219"/>
      <c r="GD12" s="219" t="s">
        <v>46</v>
      </c>
      <c r="GE12" s="219"/>
      <c r="GF12" s="219"/>
      <c r="GG12" s="219"/>
      <c r="GH12" s="219"/>
      <c r="GI12" s="219"/>
      <c r="GJ12" s="219"/>
      <c r="GK12" s="219"/>
      <c r="GL12" s="219"/>
      <c r="GM12" s="219"/>
      <c r="GN12" s="219"/>
      <c r="GO12" s="219"/>
      <c r="GP12" s="219"/>
      <c r="GQ12" s="219"/>
      <c r="GR12" s="219"/>
      <c r="GS12" s="219"/>
      <c r="GT12" s="219"/>
      <c r="GU12" s="219"/>
      <c r="GV12" s="219"/>
      <c r="GW12" s="219"/>
      <c r="GX12" s="219"/>
      <c r="GY12" s="219"/>
      <c r="GZ12" s="219"/>
      <c r="HA12" s="219"/>
      <c r="HB12" s="219"/>
      <c r="HC12" s="219"/>
      <c r="HD12" s="219"/>
      <c r="HE12" s="219"/>
      <c r="HF12" s="219"/>
      <c r="HG12" s="219"/>
      <c r="HH12" s="219"/>
      <c r="HI12" s="219"/>
      <c r="HJ12" s="219"/>
      <c r="HK12" s="219"/>
      <c r="HL12" s="219"/>
      <c r="HM12" s="219"/>
      <c r="HN12" s="219"/>
      <c r="HO12" s="219"/>
      <c r="HP12" s="219"/>
      <c r="HQ12" s="219"/>
      <c r="HR12" s="219"/>
      <c r="HS12" s="219"/>
      <c r="HT12" s="219"/>
      <c r="HU12" s="219"/>
      <c r="HV12" s="219"/>
      <c r="HW12" s="219"/>
      <c r="HX12" s="219"/>
      <c r="HY12" s="219"/>
      <c r="HZ12" s="219"/>
      <c r="IA12" s="219"/>
      <c r="IB12" s="219"/>
      <c r="IC12" s="219"/>
      <c r="ID12" s="219"/>
      <c r="IE12" s="219"/>
      <c r="IF12" s="219"/>
      <c r="IG12" s="219"/>
      <c r="IH12" s="219"/>
      <c r="II12" s="219"/>
      <c r="IJ12" s="219"/>
      <c r="IK12" s="219"/>
      <c r="IL12" s="219" t="s">
        <v>46</v>
      </c>
      <c r="IM12" s="219"/>
      <c r="IN12" s="219"/>
      <c r="IO12" s="219"/>
      <c r="IP12" s="219"/>
      <c r="IQ12" s="219"/>
      <c r="IR12" s="219"/>
      <c r="IS12" s="219"/>
      <c r="IT12" s="219"/>
      <c r="IU12" s="219"/>
      <c r="IV12" s="219"/>
      <c r="IW12" s="219"/>
      <c r="IX12" s="219"/>
      <c r="IY12" s="219"/>
      <c r="IZ12" s="219"/>
      <c r="JA12" s="219"/>
      <c r="JB12" s="219"/>
      <c r="JC12" s="219"/>
      <c r="JD12" s="219"/>
      <c r="JE12" s="219"/>
      <c r="JF12" s="219"/>
      <c r="JG12" s="219"/>
      <c r="JH12" s="219"/>
      <c r="JI12" s="219"/>
      <c r="JJ12" s="219"/>
      <c r="JK12" s="219"/>
      <c r="JL12" s="219"/>
      <c r="JM12" s="219"/>
      <c r="JN12" s="219"/>
      <c r="JO12" s="219"/>
      <c r="JP12" s="219"/>
      <c r="JQ12" s="219"/>
      <c r="JR12" s="219"/>
      <c r="JS12" s="219"/>
      <c r="JT12" s="219"/>
      <c r="JU12" s="219"/>
      <c r="JV12" s="219"/>
      <c r="JW12" s="219"/>
      <c r="JX12" s="219"/>
      <c r="JY12" s="219"/>
      <c r="JZ12" s="219"/>
      <c r="KA12" s="219"/>
      <c r="KB12" s="219"/>
      <c r="KC12" s="219"/>
      <c r="KD12" s="219"/>
      <c r="KE12" s="219"/>
      <c r="KF12" s="219"/>
      <c r="KG12" s="219"/>
      <c r="KH12" s="219"/>
      <c r="KI12" s="219"/>
      <c r="KJ12" s="219"/>
      <c r="KK12" s="219"/>
      <c r="KL12" s="219"/>
      <c r="KM12" s="219"/>
      <c r="KN12" s="219"/>
      <c r="KO12" s="219"/>
      <c r="KP12" s="219"/>
      <c r="KQ12" s="219"/>
      <c r="KR12" s="219"/>
      <c r="KS12" s="219"/>
      <c r="KT12" s="219" t="s">
        <v>47</v>
      </c>
      <c r="KU12" s="219"/>
      <c r="KV12" s="219"/>
      <c r="KW12" s="219"/>
      <c r="KX12" s="219"/>
      <c r="KY12" s="219"/>
      <c r="KZ12" s="219"/>
      <c r="LA12" s="219"/>
      <c r="LB12" s="219"/>
      <c r="LC12" s="219"/>
      <c r="LD12" s="219"/>
      <c r="LE12" s="219"/>
      <c r="LF12" s="219"/>
      <c r="LG12" s="219"/>
      <c r="LH12" s="219"/>
      <c r="LI12" s="219"/>
      <c r="LJ12" s="219"/>
      <c r="LK12" s="219"/>
      <c r="LL12" s="219"/>
      <c r="LM12" s="219"/>
      <c r="LN12" s="219"/>
      <c r="LO12" s="219"/>
      <c r="LP12" s="219"/>
      <c r="LQ12" s="219"/>
      <c r="LR12" s="219"/>
      <c r="LS12" s="219"/>
      <c r="LT12" s="219"/>
      <c r="LU12" s="219"/>
      <c r="LV12" s="219"/>
      <c r="LW12" s="219"/>
      <c r="LX12" s="219"/>
      <c r="LY12" s="219"/>
      <c r="LZ12" s="219"/>
      <c r="MA12" s="219"/>
      <c r="MB12" s="219"/>
      <c r="MC12" s="219"/>
      <c r="MD12" s="219"/>
      <c r="ME12" s="219"/>
      <c r="MF12" s="219"/>
      <c r="MG12" s="219"/>
      <c r="MH12" s="219"/>
      <c r="MI12" s="219"/>
      <c r="MJ12" s="219"/>
      <c r="MK12" s="219"/>
      <c r="ML12" s="219"/>
      <c r="MM12" s="219"/>
      <c r="MN12" s="219"/>
      <c r="MO12" s="219"/>
      <c r="MP12" s="219"/>
      <c r="MQ12" s="219"/>
      <c r="MR12" s="219"/>
      <c r="MS12" s="219"/>
      <c r="MT12" s="219"/>
      <c r="MU12" s="219"/>
      <c r="MV12" s="219"/>
      <c r="MW12" s="219"/>
      <c r="MX12" s="219"/>
      <c r="MY12" s="219"/>
      <c r="MZ12" s="219"/>
      <c r="NA12" s="219"/>
      <c r="NB12" s="219" t="s">
        <v>46</v>
      </c>
      <c r="NC12" s="219"/>
      <c r="ND12" s="219"/>
      <c r="NE12" s="219"/>
      <c r="NF12" s="219"/>
      <c r="NG12" s="219"/>
      <c r="NH12" s="219"/>
      <c r="NI12" s="219"/>
      <c r="NJ12" s="219"/>
      <c r="NK12" s="219"/>
      <c r="NL12" s="219"/>
      <c r="NM12" s="219"/>
      <c r="NN12" s="219"/>
      <c r="NO12" s="219"/>
      <c r="NP12" s="219"/>
      <c r="NQ12" s="219"/>
      <c r="NR12" s="219"/>
      <c r="NS12" s="219"/>
      <c r="NT12" s="219"/>
      <c r="NU12" s="219"/>
      <c r="NV12" s="219"/>
      <c r="NW12" s="219"/>
      <c r="NX12" s="219"/>
      <c r="NY12" s="219"/>
      <c r="NZ12" s="219"/>
      <c r="OA12" s="219"/>
      <c r="OB12" s="219"/>
      <c r="OC12" s="219"/>
      <c r="OD12" s="219"/>
      <c r="OE12" s="219"/>
      <c r="OF12" s="219"/>
      <c r="OG12" s="219"/>
      <c r="OH12" s="219"/>
      <c r="OI12" s="219"/>
      <c r="OJ12" s="219"/>
      <c r="OK12" s="219"/>
      <c r="OL12" s="219"/>
      <c r="OM12" s="219"/>
      <c r="ON12" s="219"/>
      <c r="OO12" s="219"/>
      <c r="OP12" s="219"/>
      <c r="OQ12" s="219"/>
      <c r="OR12" s="219"/>
      <c r="OS12" s="219"/>
      <c r="OT12" s="219"/>
      <c r="OU12" s="219"/>
      <c r="OV12" s="219"/>
      <c r="OW12" s="219"/>
      <c r="OX12" s="219"/>
      <c r="OY12" s="219"/>
      <c r="OZ12" s="219"/>
      <c r="PA12" s="219"/>
      <c r="PB12" s="219"/>
      <c r="PC12" s="219"/>
      <c r="PD12" s="219"/>
      <c r="PE12" s="219"/>
      <c r="PF12" s="219"/>
      <c r="PG12" s="219"/>
      <c r="PH12" s="219"/>
      <c r="PI12" s="219"/>
      <c r="PJ12" s="219" t="s">
        <v>47</v>
      </c>
      <c r="PK12" s="219"/>
      <c r="PL12" s="219"/>
      <c r="PM12" s="219"/>
      <c r="PN12" s="219"/>
      <c r="PO12" s="219"/>
      <c r="PP12" s="219"/>
      <c r="PQ12" s="219"/>
      <c r="PR12" s="219"/>
      <c r="PS12" s="219"/>
      <c r="PT12" s="219"/>
      <c r="PU12" s="219"/>
      <c r="PV12" s="219"/>
      <c r="PW12" s="219"/>
      <c r="PX12" s="219"/>
      <c r="PY12" s="219"/>
      <c r="PZ12" s="219"/>
      <c r="QA12" s="219"/>
      <c r="QB12" s="219"/>
      <c r="QC12" s="219"/>
      <c r="QD12" s="219"/>
      <c r="QE12" s="219"/>
      <c r="QF12" s="219"/>
      <c r="QG12" s="219"/>
      <c r="QH12" s="219"/>
      <c r="QI12" s="219"/>
      <c r="QJ12" s="219"/>
      <c r="QK12" s="219"/>
      <c r="QL12" s="219"/>
      <c r="QM12" s="219"/>
      <c r="QN12" s="219"/>
      <c r="QO12" s="219"/>
      <c r="QP12" s="219"/>
      <c r="QQ12" s="219"/>
      <c r="QR12" s="219"/>
      <c r="QS12" s="219"/>
      <c r="QT12" s="219"/>
      <c r="QU12" s="219"/>
      <c r="QV12" s="219"/>
      <c r="QW12" s="219"/>
      <c r="QX12" s="219"/>
      <c r="QY12" s="219"/>
      <c r="QZ12" s="219"/>
      <c r="RA12" s="219"/>
      <c r="RB12" s="219"/>
      <c r="RC12" s="219"/>
      <c r="RD12" s="219"/>
      <c r="RE12" s="219"/>
      <c r="RF12" s="219"/>
      <c r="RG12" s="219"/>
      <c r="RH12" s="219"/>
      <c r="RI12" s="219"/>
      <c r="RJ12" s="219"/>
      <c r="RK12" s="219"/>
      <c r="RL12" s="219"/>
      <c r="RM12" s="219"/>
      <c r="RN12" s="219"/>
      <c r="RO12" s="219"/>
      <c r="RP12" s="219"/>
      <c r="RQ12" s="219"/>
      <c r="RR12" s="219" t="s">
        <v>46</v>
      </c>
      <c r="RS12" s="219"/>
      <c r="RT12" s="219"/>
      <c r="RU12" s="219"/>
      <c r="RV12" s="219"/>
      <c r="RW12" s="219"/>
      <c r="RX12" s="219"/>
      <c r="RY12" s="219"/>
      <c r="RZ12" s="219"/>
      <c r="SA12" s="219"/>
      <c r="SB12" s="219"/>
      <c r="SC12" s="219"/>
      <c r="SD12" s="219"/>
      <c r="SE12" s="219"/>
      <c r="SF12" s="219"/>
      <c r="SG12" s="219"/>
      <c r="SH12" s="219"/>
      <c r="SI12" s="219"/>
      <c r="SJ12" s="219"/>
      <c r="SK12" s="219"/>
      <c r="SL12" s="219"/>
      <c r="SM12" s="219"/>
      <c r="SN12" s="219"/>
      <c r="SO12" s="219"/>
      <c r="SP12" s="219"/>
      <c r="SQ12" s="219"/>
      <c r="SR12" s="219"/>
      <c r="SS12" s="219"/>
      <c r="ST12" s="219"/>
      <c r="SU12" s="219"/>
      <c r="SV12" s="219"/>
      <c r="SW12" s="219"/>
      <c r="SX12" s="219"/>
      <c r="SY12" s="219"/>
      <c r="SZ12" s="219"/>
      <c r="TA12" s="219"/>
      <c r="TB12" s="219"/>
      <c r="TC12" s="219"/>
      <c r="TD12" s="219"/>
      <c r="TE12" s="219"/>
      <c r="TF12" s="219"/>
      <c r="TG12" s="219"/>
      <c r="TH12" s="219"/>
      <c r="TI12" s="219"/>
      <c r="TJ12" s="219"/>
      <c r="TK12" s="219"/>
      <c r="TL12" s="219"/>
      <c r="TM12" s="219"/>
      <c r="TN12" s="219"/>
      <c r="TO12" s="219"/>
      <c r="TP12" s="219"/>
      <c r="TQ12" s="219"/>
      <c r="TR12" s="219"/>
      <c r="TS12" s="219"/>
      <c r="TT12" s="219"/>
      <c r="TU12" s="219"/>
      <c r="TV12" s="219"/>
      <c r="TW12" s="219"/>
      <c r="TX12" s="219"/>
      <c r="TY12" s="219"/>
      <c r="TZ12" s="219" t="s">
        <v>47</v>
      </c>
      <c r="UA12" s="219"/>
      <c r="UB12" s="219"/>
      <c r="UC12" s="219"/>
      <c r="UD12" s="219"/>
      <c r="UE12" s="219"/>
      <c r="UF12" s="219"/>
      <c r="UG12" s="219"/>
      <c r="UH12" s="219"/>
      <c r="UI12" s="219"/>
      <c r="UJ12" s="219"/>
      <c r="UK12" s="219"/>
      <c r="UL12" s="219"/>
      <c r="UM12" s="219"/>
      <c r="UN12" s="219"/>
      <c r="UO12" s="219"/>
      <c r="UP12" s="219"/>
      <c r="UQ12" s="219"/>
      <c r="UR12" s="219"/>
      <c r="US12" s="219"/>
      <c r="UT12" s="219"/>
      <c r="UU12" s="219"/>
      <c r="UV12" s="219"/>
      <c r="UW12" s="219"/>
      <c r="UX12" s="219"/>
      <c r="UY12" s="219"/>
      <c r="UZ12" s="219"/>
      <c r="VA12" s="219"/>
      <c r="VB12" s="219"/>
      <c r="VC12" s="219"/>
      <c r="VD12" s="219"/>
      <c r="VE12" s="219"/>
      <c r="VF12" s="219"/>
      <c r="VG12" s="219"/>
      <c r="VH12" s="219"/>
      <c r="VI12" s="219"/>
      <c r="VJ12" s="219"/>
      <c r="VK12" s="219"/>
      <c r="VL12" s="219"/>
      <c r="VM12" s="219"/>
      <c r="VN12" s="219"/>
      <c r="VO12" s="219"/>
      <c r="VP12" s="219"/>
      <c r="VQ12" s="219"/>
      <c r="VR12" s="219"/>
      <c r="VS12" s="219"/>
      <c r="VT12" s="219"/>
      <c r="VU12" s="219"/>
      <c r="VV12" s="219"/>
      <c r="VW12" s="219"/>
      <c r="VX12" s="219"/>
      <c r="VY12" s="219"/>
      <c r="VZ12" s="219"/>
      <c r="WA12" s="219"/>
      <c r="WB12" s="219"/>
      <c r="WC12" s="219"/>
      <c r="WD12" s="219"/>
      <c r="WE12" s="219"/>
      <c r="WF12" s="219"/>
      <c r="WG12" s="219"/>
      <c r="WH12" s="219" t="s">
        <v>46</v>
      </c>
      <c r="WI12" s="219"/>
      <c r="WJ12" s="219"/>
      <c r="WK12" s="219"/>
      <c r="WL12" s="219"/>
      <c r="WM12" s="219"/>
      <c r="WN12" s="219"/>
      <c r="WO12" s="219"/>
      <c r="WP12" s="219"/>
      <c r="WQ12" s="219"/>
      <c r="WR12" s="219"/>
      <c r="WS12" s="219"/>
      <c r="WT12" s="219"/>
      <c r="WU12" s="219"/>
      <c r="WV12" s="219"/>
      <c r="WW12" s="219"/>
      <c r="WX12" s="219"/>
      <c r="WY12" s="219"/>
      <c r="WZ12" s="219"/>
      <c r="XA12" s="219"/>
      <c r="XB12" s="219"/>
      <c r="XC12" s="219"/>
      <c r="XD12" s="219"/>
      <c r="XE12" s="219"/>
      <c r="XF12" s="219"/>
      <c r="XG12" s="219"/>
      <c r="XH12" s="219"/>
      <c r="XI12" s="219"/>
      <c r="XJ12" s="219"/>
      <c r="XK12" s="219"/>
      <c r="XL12" s="219"/>
      <c r="XM12" s="219"/>
      <c r="XN12" s="219"/>
      <c r="XO12" s="219"/>
      <c r="XP12" s="219"/>
      <c r="XQ12" s="219"/>
      <c r="XR12" s="219"/>
      <c r="XS12" s="219"/>
      <c r="XT12" s="219"/>
      <c r="XU12" s="219"/>
      <c r="XV12" s="219"/>
      <c r="XW12" s="219"/>
      <c r="XX12" s="219"/>
      <c r="XY12" s="219"/>
      <c r="XZ12" s="219"/>
      <c r="YA12" s="219"/>
      <c r="YB12" s="219"/>
      <c r="YC12" s="219"/>
      <c r="YD12" s="219"/>
      <c r="YE12" s="219"/>
      <c r="YF12" s="219"/>
      <c r="YG12" s="219"/>
      <c r="YH12" s="219"/>
      <c r="YI12" s="219"/>
      <c r="YJ12" s="219"/>
      <c r="YK12" s="219"/>
      <c r="YL12" s="219"/>
      <c r="YM12" s="219"/>
      <c r="YN12" s="219"/>
      <c r="YO12" s="219"/>
      <c r="YP12" s="219" t="s">
        <v>47</v>
      </c>
      <c r="YQ12" s="219"/>
      <c r="YR12" s="219"/>
      <c r="YS12" s="219"/>
      <c r="YT12" s="219"/>
      <c r="YU12" s="219"/>
      <c r="YV12" s="219"/>
      <c r="YW12" s="219"/>
      <c r="YX12" s="219"/>
      <c r="YY12" s="219"/>
      <c r="YZ12" s="219"/>
      <c r="ZA12" s="219"/>
      <c r="ZB12" s="219"/>
      <c r="ZC12" s="219"/>
      <c r="ZD12" s="219"/>
      <c r="ZE12" s="219"/>
      <c r="ZF12" s="219"/>
      <c r="ZG12" s="219"/>
      <c r="ZH12" s="219"/>
      <c r="ZI12" s="219"/>
      <c r="ZJ12" s="219"/>
      <c r="ZK12" s="219"/>
      <c r="ZL12" s="219"/>
      <c r="ZM12" s="219"/>
      <c r="ZN12" s="219"/>
      <c r="ZO12" s="219"/>
      <c r="ZP12" s="219"/>
      <c r="ZQ12" s="219"/>
      <c r="ZR12" s="219"/>
      <c r="ZS12" s="219"/>
      <c r="ZT12" s="219"/>
      <c r="ZU12" s="219"/>
      <c r="ZV12" s="219"/>
      <c r="ZW12" s="219"/>
      <c r="ZX12" s="219"/>
      <c r="ZY12" s="219"/>
      <c r="ZZ12" s="219"/>
      <c r="AAA12" s="219"/>
      <c r="AAB12" s="219"/>
      <c r="AAC12" s="219"/>
      <c r="AAD12" s="219"/>
      <c r="AAE12" s="219"/>
      <c r="AAF12" s="219"/>
      <c r="AAG12" s="219"/>
      <c r="AAH12" s="219"/>
      <c r="AAI12" s="219"/>
      <c r="AAJ12" s="219"/>
      <c r="AAK12" s="219"/>
      <c r="AAL12" s="219"/>
      <c r="AAM12" s="219"/>
      <c r="AAN12" s="219"/>
      <c r="AAO12" s="219"/>
      <c r="AAP12" s="219"/>
      <c r="AAQ12" s="219"/>
      <c r="AAR12" s="219"/>
      <c r="AAS12" s="219"/>
      <c r="AAT12" s="219"/>
      <c r="AAU12" s="219"/>
      <c r="AAV12" s="219"/>
      <c r="AAW12" s="219"/>
      <c r="AAX12" s="219" t="s">
        <v>46</v>
      </c>
      <c r="AAY12" s="219"/>
      <c r="AAZ12" s="219"/>
      <c r="ABA12" s="219"/>
      <c r="ABB12" s="219"/>
      <c r="ABC12" s="219"/>
      <c r="ABD12" s="219"/>
      <c r="ABE12" s="219"/>
      <c r="ABF12" s="219"/>
      <c r="ABG12" s="219"/>
      <c r="ABH12" s="219"/>
      <c r="ABI12" s="219"/>
      <c r="ABJ12" s="219"/>
      <c r="ABK12" s="219"/>
      <c r="ABL12" s="219"/>
      <c r="ABM12" s="219"/>
      <c r="ABN12" s="219"/>
      <c r="ABO12" s="219"/>
      <c r="ABP12" s="219"/>
      <c r="ABQ12" s="219"/>
      <c r="ABR12" s="219"/>
      <c r="ABS12" s="219"/>
      <c r="ABT12" s="219"/>
      <c r="ABU12" s="219"/>
      <c r="ABV12" s="219"/>
      <c r="ABW12" s="219"/>
      <c r="ABX12" s="219"/>
      <c r="ABY12" s="219"/>
      <c r="ABZ12" s="219"/>
      <c r="ACA12" s="219"/>
      <c r="ACB12" s="219"/>
      <c r="ACC12" s="219"/>
      <c r="ACD12" s="219"/>
      <c r="ACE12" s="219"/>
      <c r="ACF12" s="219"/>
      <c r="ACG12" s="219"/>
      <c r="ACH12" s="219"/>
      <c r="ACI12" s="219"/>
      <c r="ACJ12" s="219"/>
      <c r="ACK12" s="219"/>
      <c r="ACL12" s="219"/>
      <c r="ACM12" s="219"/>
      <c r="ACN12" s="219"/>
      <c r="ACO12" s="219"/>
      <c r="ACP12" s="219"/>
      <c r="ACQ12" s="219"/>
      <c r="ACR12" s="219"/>
      <c r="ACS12" s="219"/>
      <c r="ACT12" s="219"/>
      <c r="ACU12" s="219"/>
      <c r="ACV12" s="219"/>
      <c r="ACW12" s="219"/>
      <c r="ACX12" s="219"/>
      <c r="ACY12" s="219"/>
      <c r="ACZ12" s="219"/>
      <c r="ADA12" s="219"/>
      <c r="ADB12" s="219"/>
      <c r="ADC12" s="219"/>
      <c r="ADD12" s="219"/>
      <c r="ADE12" s="219"/>
      <c r="ADF12" s="219" t="s">
        <v>47</v>
      </c>
      <c r="ADG12" s="219"/>
      <c r="ADH12" s="219"/>
      <c r="ADI12" s="219"/>
      <c r="ADJ12" s="219"/>
      <c r="ADK12" s="219"/>
      <c r="ADL12" s="219"/>
      <c r="ADM12" s="219"/>
      <c r="ADN12" s="219"/>
      <c r="ADO12" s="219"/>
      <c r="ADP12" s="219"/>
      <c r="ADQ12" s="219"/>
      <c r="ADR12" s="219"/>
      <c r="ADS12" s="219"/>
      <c r="ADT12" s="219"/>
      <c r="ADU12" s="219"/>
      <c r="ADV12" s="219"/>
      <c r="ADW12" s="219"/>
      <c r="ADX12" s="219"/>
      <c r="ADY12" s="219"/>
      <c r="ADZ12" s="219"/>
      <c r="AEA12" s="219"/>
      <c r="AEB12" s="219"/>
      <c r="AEC12" s="219"/>
      <c r="AED12" s="219"/>
      <c r="AEE12" s="219"/>
      <c r="AEF12" s="219"/>
      <c r="AEG12" s="219"/>
      <c r="AEH12" s="219"/>
      <c r="AEI12" s="219"/>
      <c r="AEJ12" s="219"/>
      <c r="AEK12" s="219"/>
      <c r="AEL12" s="219"/>
      <c r="AEM12" s="219"/>
      <c r="AEN12" s="219"/>
      <c r="AEO12" s="219"/>
      <c r="AEP12" s="219"/>
      <c r="AEQ12" s="219"/>
      <c r="AER12" s="219"/>
      <c r="AES12" s="219"/>
      <c r="AET12" s="219"/>
      <c r="AEU12" s="219"/>
      <c r="AEV12" s="219"/>
      <c r="AEW12" s="219"/>
      <c r="AEX12" s="219"/>
      <c r="AEY12" s="219"/>
      <c r="AEZ12" s="219"/>
      <c r="AFA12" s="219"/>
      <c r="AFB12" s="219"/>
      <c r="AFC12" s="219"/>
      <c r="AFD12" s="219"/>
      <c r="AFE12" s="219"/>
      <c r="AFF12" s="219"/>
      <c r="AFG12" s="219"/>
      <c r="AFH12" s="219"/>
      <c r="AFI12" s="219"/>
      <c r="AFJ12" s="219"/>
      <c r="AFK12" s="219"/>
      <c r="AFL12" s="219"/>
      <c r="AFM12" s="219"/>
      <c r="AFN12" s="219" t="s">
        <v>46</v>
      </c>
      <c r="AFO12" s="219"/>
      <c r="AFP12" s="219"/>
      <c r="AFQ12" s="219"/>
      <c r="AFR12" s="219"/>
      <c r="AFS12" s="219"/>
      <c r="AFT12" s="219"/>
      <c r="AFU12" s="219"/>
      <c r="AFV12" s="219"/>
      <c r="AFW12" s="219"/>
      <c r="AFX12" s="219"/>
      <c r="AFY12" s="219"/>
      <c r="AFZ12" s="219"/>
      <c r="AGA12" s="219"/>
      <c r="AGB12" s="219"/>
      <c r="AGC12" s="219"/>
      <c r="AGD12" s="219"/>
      <c r="AGE12" s="219"/>
      <c r="AGF12" s="219"/>
      <c r="AGG12" s="219"/>
      <c r="AGH12" s="219"/>
      <c r="AGI12" s="219"/>
      <c r="AGJ12" s="219"/>
      <c r="AGK12" s="219"/>
      <c r="AGL12" s="219"/>
      <c r="AGM12" s="219"/>
      <c r="AGN12" s="219"/>
      <c r="AGO12" s="219"/>
      <c r="AGP12" s="219"/>
      <c r="AGQ12" s="219"/>
      <c r="AGR12" s="219"/>
      <c r="AGS12" s="219"/>
      <c r="AGT12" s="219"/>
      <c r="AGU12" s="219"/>
      <c r="AGV12" s="219"/>
      <c r="AGW12" s="219"/>
      <c r="AGX12" s="219"/>
      <c r="AGY12" s="219"/>
      <c r="AGZ12" s="219"/>
      <c r="AHA12" s="219"/>
      <c r="AHB12" s="219"/>
      <c r="AHC12" s="219"/>
      <c r="AHD12" s="219"/>
      <c r="AHE12" s="219"/>
      <c r="AHF12" s="219"/>
      <c r="AHG12" s="219"/>
      <c r="AHH12" s="219"/>
      <c r="AHI12" s="219"/>
      <c r="AHJ12" s="219"/>
      <c r="AHK12" s="219"/>
      <c r="AHL12" s="219"/>
      <c r="AHM12" s="219"/>
      <c r="AHN12" s="219"/>
      <c r="AHO12" s="219"/>
      <c r="AHP12" s="219"/>
      <c r="AHQ12" s="219"/>
      <c r="AHR12" s="219"/>
      <c r="AHS12" s="219"/>
      <c r="AHT12" s="219"/>
      <c r="AHU12" s="219"/>
      <c r="AHV12" s="219" t="s">
        <v>46</v>
      </c>
      <c r="AHW12" s="219"/>
      <c r="AHX12" s="219"/>
      <c r="AHY12" s="219"/>
      <c r="AHZ12" s="219"/>
      <c r="AIA12" s="219"/>
      <c r="AIB12" s="219"/>
      <c r="AIC12" s="219"/>
      <c r="AID12" s="219"/>
      <c r="AIE12" s="219"/>
      <c r="AIF12" s="219"/>
      <c r="AIG12" s="219"/>
      <c r="AIH12" s="219"/>
      <c r="AII12" s="219"/>
      <c r="AIJ12" s="219"/>
      <c r="AIK12" s="219"/>
      <c r="AIL12" s="219"/>
      <c r="AIM12" s="219"/>
      <c r="AIN12" s="219"/>
      <c r="AIO12" s="219"/>
      <c r="AIP12" s="219"/>
      <c r="AIQ12" s="219"/>
      <c r="AIR12" s="219"/>
      <c r="AIS12" s="219"/>
      <c r="AIT12" s="219"/>
      <c r="AIU12" s="219"/>
      <c r="AIV12" s="219"/>
      <c r="AIW12" s="219"/>
      <c r="AIX12" s="219"/>
      <c r="AIY12" s="219"/>
      <c r="AIZ12" s="219"/>
      <c r="AJA12" s="219"/>
      <c r="AJB12" s="219"/>
      <c r="AJC12" s="219"/>
      <c r="AJD12" s="219"/>
      <c r="AJE12" s="219"/>
      <c r="AJF12" s="219"/>
      <c r="AJG12" s="219"/>
      <c r="AJH12" s="219"/>
      <c r="AJI12" s="219"/>
      <c r="AJJ12" s="219"/>
      <c r="AJK12" s="219"/>
      <c r="AJL12" s="219"/>
      <c r="AJM12" s="219"/>
      <c r="AJN12" s="219"/>
      <c r="AJO12" s="219"/>
      <c r="AJP12" s="219"/>
      <c r="AJQ12" s="219"/>
      <c r="AJR12" s="219"/>
      <c r="AJS12" s="219"/>
      <c r="AJT12" s="219"/>
      <c r="AJU12" s="219"/>
      <c r="AJV12" s="219"/>
      <c r="AJW12" s="219"/>
      <c r="AJX12" s="219"/>
      <c r="AJY12" s="219"/>
      <c r="AJZ12" s="219"/>
      <c r="AKA12" s="219"/>
      <c r="AKB12" s="219"/>
      <c r="AKC12" s="219"/>
      <c r="AKD12" s="219" t="s">
        <v>47</v>
      </c>
      <c r="AKE12" s="219"/>
      <c r="AKF12" s="219"/>
      <c r="AKG12" s="219"/>
      <c r="AKH12" s="219"/>
      <c r="AKI12" s="219"/>
      <c r="AKJ12" s="219"/>
      <c r="AKK12" s="219"/>
      <c r="AKL12" s="219"/>
      <c r="AKM12" s="219"/>
      <c r="AKN12" s="219"/>
      <c r="AKO12" s="219"/>
      <c r="AKP12" s="219"/>
      <c r="AKQ12" s="219"/>
      <c r="AKR12" s="219"/>
      <c r="AKS12" s="219"/>
      <c r="AKT12" s="219"/>
      <c r="AKU12" s="219"/>
      <c r="AKV12" s="219"/>
      <c r="AKW12" s="219"/>
      <c r="AKX12" s="219"/>
      <c r="AKY12" s="219"/>
      <c r="AKZ12" s="219"/>
      <c r="ALA12" s="219"/>
      <c r="ALB12" s="219"/>
      <c r="ALC12" s="219"/>
      <c r="ALD12" s="219"/>
      <c r="ALE12" s="219"/>
      <c r="ALF12" s="219"/>
      <c r="ALG12" s="219"/>
      <c r="ALH12" s="219"/>
      <c r="ALI12" s="219"/>
      <c r="ALJ12" s="219"/>
      <c r="ALK12" s="219"/>
      <c r="ALL12" s="219"/>
      <c r="ALM12" s="219"/>
      <c r="ALN12" s="219"/>
      <c r="ALO12" s="219"/>
      <c r="ALP12" s="219"/>
      <c r="ALQ12" s="219"/>
      <c r="ALR12" s="219"/>
      <c r="ALS12" s="219"/>
      <c r="ALT12" s="219"/>
      <c r="ALU12" s="219"/>
      <c r="ALV12" s="219"/>
      <c r="ALW12" s="219"/>
      <c r="ALX12" s="219"/>
      <c r="ALY12" s="219"/>
      <c r="ALZ12" s="219"/>
      <c r="AMA12" s="219"/>
      <c r="AMB12" s="219"/>
      <c r="AMC12" s="219"/>
      <c r="AMD12" s="219"/>
      <c r="AME12" s="219"/>
      <c r="AMF12" s="219"/>
      <c r="AMG12" s="219"/>
      <c r="AMH12" s="219"/>
      <c r="AMI12" s="219"/>
      <c r="AMJ12" s="219"/>
      <c r="AMK12" s="219"/>
      <c r="AML12" s="219" t="s">
        <v>46</v>
      </c>
      <c r="AMM12" s="219"/>
      <c r="AMN12" s="219"/>
      <c r="AMO12" s="219"/>
      <c r="AMP12" s="219"/>
      <c r="AMQ12" s="219"/>
      <c r="AMR12" s="219"/>
      <c r="AMS12" s="219"/>
      <c r="AMT12" s="219"/>
      <c r="AMU12" s="219"/>
      <c r="AMV12" s="219"/>
      <c r="AMW12" s="219"/>
      <c r="AMX12" s="219"/>
      <c r="AMY12" s="219"/>
      <c r="AMZ12" s="219"/>
      <c r="ANA12" s="219"/>
      <c r="ANB12" s="219"/>
      <c r="ANC12" s="219"/>
      <c r="AND12" s="219"/>
      <c r="ANE12" s="219"/>
      <c r="ANF12" s="219"/>
      <c r="ANG12" s="219"/>
      <c r="ANH12" s="219"/>
      <c r="ANI12" s="219"/>
      <c r="ANJ12" s="219"/>
      <c r="ANK12" s="219"/>
      <c r="ANL12" s="219"/>
      <c r="ANM12" s="219"/>
      <c r="ANN12" s="219"/>
      <c r="ANO12" s="219"/>
      <c r="ANP12" s="219"/>
      <c r="ANQ12" s="219"/>
      <c r="ANR12" s="219"/>
      <c r="ANS12" s="219"/>
      <c r="ANT12" s="219"/>
      <c r="ANU12" s="219"/>
      <c r="ANV12" s="219"/>
      <c r="ANW12" s="219"/>
      <c r="ANX12" s="219"/>
      <c r="ANY12" s="219"/>
      <c r="ANZ12" s="219"/>
      <c r="AOA12" s="219"/>
      <c r="AOB12" s="219"/>
      <c r="AOC12" s="219"/>
      <c r="AOD12" s="219"/>
      <c r="AOE12" s="219"/>
      <c r="AOF12" s="219"/>
      <c r="AOG12" s="219"/>
      <c r="AOH12" s="219"/>
      <c r="AOI12" s="219"/>
      <c r="AOJ12" s="219"/>
      <c r="AOK12" s="219"/>
      <c r="AOL12" s="219"/>
      <c r="AOM12" s="219"/>
      <c r="AON12" s="219"/>
      <c r="AOO12" s="219"/>
      <c r="AOP12" s="219"/>
      <c r="AOQ12" s="219"/>
      <c r="AOR12" s="219"/>
      <c r="AOS12" s="219"/>
      <c r="AOT12" s="219" t="s">
        <v>47</v>
      </c>
      <c r="AOU12" s="219"/>
      <c r="AOV12" s="219"/>
      <c r="AOW12" s="219"/>
      <c r="AOX12" s="219"/>
      <c r="AOY12" s="219"/>
      <c r="AOZ12" s="219"/>
      <c r="APA12" s="219"/>
      <c r="APB12" s="219"/>
      <c r="APC12" s="219"/>
      <c r="APD12" s="219"/>
      <c r="APE12" s="219"/>
      <c r="APF12" s="219"/>
      <c r="APG12" s="219"/>
      <c r="APH12" s="219"/>
      <c r="API12" s="219"/>
      <c r="APJ12" s="219"/>
      <c r="APK12" s="219"/>
      <c r="APL12" s="219"/>
      <c r="APM12" s="219"/>
      <c r="APN12" s="219"/>
      <c r="APO12" s="219"/>
      <c r="APP12" s="219"/>
      <c r="APQ12" s="219"/>
      <c r="APR12" s="219"/>
      <c r="APS12" s="219"/>
      <c r="APT12" s="219"/>
      <c r="APU12" s="219"/>
      <c r="APV12" s="219"/>
      <c r="APW12" s="219"/>
      <c r="APX12" s="219"/>
      <c r="APY12" s="219"/>
      <c r="APZ12" s="219"/>
      <c r="AQA12" s="219"/>
      <c r="AQB12" s="219"/>
      <c r="AQC12" s="219"/>
      <c r="AQD12" s="219"/>
      <c r="AQE12" s="219"/>
      <c r="AQF12" s="219"/>
      <c r="AQG12" s="219"/>
      <c r="AQH12" s="219"/>
      <c r="AQI12" s="219"/>
      <c r="AQJ12" s="219"/>
      <c r="AQK12" s="219"/>
      <c r="AQL12" s="219"/>
      <c r="AQM12" s="219"/>
      <c r="AQN12" s="219"/>
      <c r="AQO12" s="219"/>
      <c r="AQP12" s="219"/>
      <c r="AQQ12" s="219"/>
      <c r="AQR12" s="219"/>
      <c r="AQS12" s="219"/>
      <c r="AQT12" s="219"/>
      <c r="AQU12" s="219"/>
      <c r="AQV12" s="219"/>
      <c r="AQW12" s="219"/>
      <c r="AQX12" s="219"/>
      <c r="AQY12" s="219"/>
      <c r="AQZ12" s="219"/>
      <c r="ARA12" s="219"/>
      <c r="ARB12" s="219" t="s">
        <v>46</v>
      </c>
      <c r="ARC12" s="219"/>
      <c r="ARD12" s="219"/>
      <c r="ARE12" s="219"/>
      <c r="ARF12" s="219"/>
      <c r="ARG12" s="219"/>
      <c r="ARH12" s="219"/>
      <c r="ARI12" s="219"/>
      <c r="ARJ12" s="219"/>
      <c r="ARK12" s="219"/>
      <c r="ARL12" s="219"/>
      <c r="ARM12" s="219"/>
      <c r="ARN12" s="219"/>
      <c r="ARO12" s="219"/>
      <c r="ARP12" s="219"/>
      <c r="ARQ12" s="219"/>
      <c r="ARR12" s="219"/>
      <c r="ARS12" s="219"/>
      <c r="ART12" s="219"/>
      <c r="ARU12" s="219"/>
      <c r="ARV12" s="219"/>
      <c r="ARW12" s="219"/>
      <c r="ARX12" s="219"/>
      <c r="ARY12" s="219"/>
      <c r="ARZ12" s="219"/>
      <c r="ASA12" s="219"/>
      <c r="ASB12" s="219"/>
      <c r="ASC12" s="219"/>
      <c r="ASD12" s="219"/>
      <c r="ASE12" s="219"/>
      <c r="ASF12" s="219"/>
      <c r="ASG12" s="219"/>
      <c r="ASH12" s="219"/>
      <c r="ASI12" s="219"/>
      <c r="ASJ12" s="219"/>
      <c r="ASK12" s="219"/>
      <c r="ASL12" s="219"/>
      <c r="ASM12" s="219"/>
      <c r="ASN12" s="219"/>
      <c r="ASO12" s="219"/>
      <c r="ASP12" s="219"/>
      <c r="ASQ12" s="219"/>
      <c r="ASR12" s="219"/>
      <c r="ASS12" s="219"/>
      <c r="AST12" s="219"/>
      <c r="ASU12" s="219"/>
      <c r="ASV12" s="219"/>
      <c r="ASW12" s="219"/>
      <c r="ASX12" s="219"/>
      <c r="ASY12" s="219"/>
      <c r="ASZ12" s="219"/>
      <c r="ATA12" s="219"/>
      <c r="ATB12" s="219"/>
      <c r="ATC12" s="219"/>
      <c r="ATD12" s="219"/>
      <c r="ATE12" s="219"/>
      <c r="ATF12" s="219"/>
      <c r="ATG12" s="219"/>
      <c r="ATH12" s="219"/>
      <c r="ATI12" s="219"/>
      <c r="ATJ12" s="219" t="s">
        <v>46</v>
      </c>
      <c r="ATK12" s="219"/>
      <c r="ATL12" s="219"/>
      <c r="ATM12" s="219"/>
      <c r="ATN12" s="219"/>
      <c r="ATO12" s="219"/>
      <c r="ATP12" s="219"/>
      <c r="ATQ12" s="219"/>
      <c r="ATR12" s="219"/>
      <c r="ATS12" s="219"/>
      <c r="ATT12" s="219"/>
      <c r="ATU12" s="219"/>
      <c r="ATV12" s="219"/>
      <c r="ATW12" s="219"/>
      <c r="ATX12" s="219"/>
      <c r="ATY12" s="219"/>
      <c r="ATZ12" s="219"/>
      <c r="AUA12" s="219"/>
      <c r="AUB12" s="219"/>
      <c r="AUC12" s="219"/>
      <c r="AUD12" s="219"/>
      <c r="AUE12" s="219"/>
      <c r="AUF12" s="219"/>
      <c r="AUG12" s="219"/>
      <c r="AUH12" s="219"/>
      <c r="AUI12" s="219"/>
      <c r="AUJ12" s="219"/>
      <c r="AUK12" s="219"/>
      <c r="AUL12" s="219"/>
      <c r="AUM12" s="219"/>
      <c r="AUN12" s="219"/>
      <c r="AUO12" s="219"/>
      <c r="AUP12" s="219"/>
      <c r="AUQ12" s="219"/>
      <c r="AUR12" s="219"/>
      <c r="AUS12" s="219"/>
      <c r="AUT12" s="219"/>
      <c r="AUU12" s="219"/>
      <c r="AUV12" s="219"/>
      <c r="AUW12" s="219"/>
      <c r="AUX12" s="219"/>
      <c r="AUY12" s="219"/>
      <c r="AUZ12" s="219"/>
      <c r="AVA12" s="219"/>
      <c r="AVB12" s="219"/>
      <c r="AVC12" s="219"/>
      <c r="AVD12" s="219"/>
      <c r="AVE12" s="219"/>
      <c r="AVF12" s="219"/>
      <c r="AVG12" s="219"/>
      <c r="AVH12" s="219"/>
      <c r="AVI12" s="219"/>
      <c r="AVJ12" s="219"/>
      <c r="AVK12" s="219"/>
      <c r="AVL12" s="219"/>
      <c r="AVM12" s="219"/>
      <c r="AVN12" s="219"/>
      <c r="AVO12" s="219"/>
      <c r="AVP12" s="219"/>
      <c r="AVQ12" s="219"/>
      <c r="AVR12" s="219" t="s">
        <v>47</v>
      </c>
      <c r="AVS12" s="219"/>
      <c r="AVT12" s="219"/>
      <c r="AVU12" s="219"/>
      <c r="AVV12" s="219"/>
      <c r="AVW12" s="219"/>
      <c r="AVX12" s="219"/>
      <c r="AVY12" s="219"/>
      <c r="AVZ12" s="219"/>
      <c r="AWA12" s="219"/>
      <c r="AWB12" s="219"/>
      <c r="AWC12" s="219"/>
      <c r="AWD12" s="219"/>
      <c r="AWE12" s="219"/>
      <c r="AWF12" s="219"/>
      <c r="AWG12" s="219"/>
      <c r="AWH12" s="219"/>
      <c r="AWI12" s="219"/>
      <c r="AWJ12" s="219"/>
      <c r="AWK12" s="219"/>
      <c r="AWL12" s="219"/>
      <c r="AWM12" s="219"/>
      <c r="AWN12" s="219"/>
      <c r="AWO12" s="219"/>
      <c r="AWP12" s="219"/>
      <c r="AWQ12" s="219"/>
      <c r="AWR12" s="219"/>
      <c r="AWS12" s="219"/>
      <c r="AWT12" s="219"/>
      <c r="AWU12" s="219"/>
      <c r="AWV12" s="219"/>
      <c r="AWW12" s="219"/>
      <c r="AWX12" s="219"/>
      <c r="AWY12" s="219"/>
      <c r="AWZ12" s="219"/>
      <c r="AXA12" s="219"/>
      <c r="AXB12" s="219"/>
      <c r="AXC12" s="219"/>
      <c r="AXD12" s="219"/>
      <c r="AXE12" s="219"/>
      <c r="AXF12" s="219"/>
      <c r="AXG12" s="219"/>
      <c r="AXH12" s="219"/>
      <c r="AXI12" s="219"/>
      <c r="AXJ12" s="219"/>
      <c r="AXK12" s="219"/>
      <c r="AXL12" s="219"/>
      <c r="AXM12" s="219"/>
      <c r="AXN12" s="219"/>
      <c r="AXO12" s="219"/>
      <c r="AXP12" s="219"/>
      <c r="AXQ12" s="219"/>
      <c r="AXR12" s="219"/>
      <c r="AXS12" s="219"/>
      <c r="AXT12" s="219"/>
      <c r="AXU12" s="219"/>
      <c r="AXV12" s="219"/>
      <c r="AXW12" s="219"/>
      <c r="AXX12" s="219"/>
      <c r="AXY12" s="219"/>
      <c r="AXZ12" s="219" t="s">
        <v>46</v>
      </c>
      <c r="AYA12" s="219"/>
      <c r="AYB12" s="219"/>
      <c r="AYC12" s="219"/>
      <c r="AYD12" s="219"/>
      <c r="AYE12" s="219"/>
      <c r="AYF12" s="219"/>
      <c r="AYG12" s="219"/>
      <c r="AYH12" s="219"/>
      <c r="AYI12" s="219"/>
      <c r="AYJ12" s="219"/>
      <c r="AYK12" s="219"/>
      <c r="AYL12" s="219"/>
      <c r="AYM12" s="219"/>
      <c r="AYN12" s="219"/>
      <c r="AYO12" s="219"/>
      <c r="AYP12" s="219"/>
      <c r="AYQ12" s="219"/>
      <c r="AYR12" s="219"/>
      <c r="AYS12" s="219"/>
      <c r="AYT12" s="219"/>
      <c r="AYU12" s="219"/>
      <c r="AYV12" s="219"/>
      <c r="AYW12" s="219"/>
      <c r="AYX12" s="219"/>
      <c r="AYY12" s="219"/>
      <c r="AYZ12" s="219"/>
      <c r="AZA12" s="219"/>
      <c r="AZB12" s="219"/>
      <c r="AZC12" s="219"/>
      <c r="AZD12" s="219"/>
      <c r="AZE12" s="219"/>
      <c r="AZF12" s="219"/>
      <c r="AZG12" s="219"/>
      <c r="AZH12" s="219"/>
      <c r="AZI12" s="219"/>
      <c r="AZJ12" s="219"/>
      <c r="AZK12" s="219"/>
      <c r="AZL12" s="219"/>
      <c r="AZM12" s="219"/>
      <c r="AZN12" s="219"/>
      <c r="AZO12" s="219"/>
      <c r="AZP12" s="219"/>
      <c r="AZQ12" s="219"/>
      <c r="AZR12" s="219"/>
      <c r="AZS12" s="219"/>
      <c r="AZT12" s="219"/>
      <c r="AZU12" s="219"/>
      <c r="AZV12" s="219"/>
      <c r="AZW12" s="219"/>
      <c r="AZX12" s="219"/>
      <c r="AZY12" s="219"/>
      <c r="AZZ12" s="219"/>
      <c r="BAA12" s="219"/>
      <c r="BAB12" s="219"/>
      <c r="BAC12" s="219"/>
      <c r="BAD12" s="219"/>
      <c r="BAE12" s="219"/>
      <c r="BAF12" s="219"/>
      <c r="BAG12" s="219"/>
      <c r="BAH12" s="219" t="s">
        <v>47</v>
      </c>
      <c r="BAI12" s="219"/>
      <c r="BAJ12" s="219"/>
      <c r="BAK12" s="219"/>
      <c r="BAL12" s="219"/>
      <c r="BAM12" s="219"/>
      <c r="BAN12" s="219"/>
      <c r="BAO12" s="219"/>
      <c r="BAP12" s="219"/>
      <c r="BAQ12" s="219"/>
      <c r="BAR12" s="219"/>
      <c r="BAS12" s="219"/>
      <c r="BAT12" s="219"/>
      <c r="BAU12" s="219"/>
      <c r="BAV12" s="219"/>
      <c r="BAW12" s="219"/>
      <c r="BAX12" s="219"/>
      <c r="BAY12" s="219"/>
      <c r="BAZ12" s="219"/>
      <c r="BBA12" s="219"/>
      <c r="BBB12" s="219"/>
      <c r="BBC12" s="219"/>
      <c r="BBD12" s="219"/>
      <c r="BBE12" s="219"/>
      <c r="BBF12" s="219"/>
      <c r="BBG12" s="219"/>
      <c r="BBH12" s="219"/>
      <c r="BBI12" s="219"/>
      <c r="BBJ12" s="219"/>
      <c r="BBK12" s="219"/>
      <c r="BBL12" s="219"/>
      <c r="BBM12" s="219"/>
      <c r="BBN12" s="219"/>
      <c r="BBO12" s="219"/>
      <c r="BBP12" s="219"/>
      <c r="BBQ12" s="219"/>
      <c r="BBR12" s="219"/>
      <c r="BBS12" s="219"/>
      <c r="BBT12" s="219"/>
      <c r="BBU12" s="219"/>
      <c r="BBV12" s="219"/>
      <c r="BBW12" s="219"/>
      <c r="BBX12" s="219"/>
      <c r="BBY12" s="219"/>
      <c r="BBZ12" s="219"/>
      <c r="BCA12" s="219"/>
      <c r="BCB12" s="219"/>
      <c r="BCC12" s="219"/>
      <c r="BCD12" s="219"/>
      <c r="BCE12" s="219"/>
      <c r="BCF12" s="219"/>
      <c r="BCG12" s="219"/>
      <c r="BCH12" s="219"/>
      <c r="BCI12" s="219"/>
      <c r="BCJ12" s="219"/>
      <c r="BCK12" s="219"/>
      <c r="BCL12" s="219"/>
      <c r="BCM12" s="219"/>
      <c r="BCN12" s="219"/>
      <c r="BCO12" s="219"/>
      <c r="BCP12" s="219" t="s">
        <v>46</v>
      </c>
      <c r="BCQ12" s="219"/>
      <c r="BCR12" s="219"/>
      <c r="BCS12" s="219"/>
      <c r="BCT12" s="219"/>
      <c r="BCU12" s="219"/>
      <c r="BCV12" s="219"/>
      <c r="BCW12" s="219"/>
      <c r="BCX12" s="219"/>
      <c r="BCY12" s="219"/>
      <c r="BCZ12" s="219"/>
      <c r="BDA12" s="219"/>
      <c r="BDB12" s="219"/>
      <c r="BDC12" s="219"/>
      <c r="BDD12" s="219"/>
      <c r="BDE12" s="219"/>
      <c r="BDF12" s="219"/>
      <c r="BDG12" s="219"/>
      <c r="BDH12" s="219"/>
      <c r="BDI12" s="219"/>
      <c r="BDJ12" s="219"/>
      <c r="BDK12" s="219"/>
      <c r="BDL12" s="219"/>
      <c r="BDM12" s="219"/>
      <c r="BDN12" s="219"/>
      <c r="BDO12" s="219"/>
      <c r="BDP12" s="219"/>
      <c r="BDQ12" s="219"/>
      <c r="BDR12" s="219"/>
      <c r="BDS12" s="219"/>
      <c r="BDT12" s="219"/>
      <c r="BDU12" s="219"/>
      <c r="BDV12" s="219"/>
      <c r="BDW12" s="219"/>
      <c r="BDX12" s="219"/>
      <c r="BDY12" s="219"/>
      <c r="BDZ12" s="219"/>
      <c r="BEA12" s="219"/>
      <c r="BEB12" s="219"/>
      <c r="BEC12" s="219"/>
      <c r="BED12" s="219"/>
      <c r="BEE12" s="219"/>
      <c r="BEF12" s="219"/>
      <c r="BEG12" s="219"/>
      <c r="BEH12" s="219"/>
      <c r="BEI12" s="219"/>
      <c r="BEJ12" s="219"/>
      <c r="BEK12" s="219"/>
      <c r="BEL12" s="219"/>
      <c r="BEM12" s="219"/>
      <c r="BEN12" s="219"/>
      <c r="BEO12" s="219"/>
      <c r="BEP12" s="219"/>
      <c r="BEQ12" s="219"/>
      <c r="BER12" s="219"/>
      <c r="BES12" s="219"/>
      <c r="BET12" s="219"/>
      <c r="BEU12" s="219"/>
      <c r="BEV12" s="219"/>
      <c r="BEW12" s="219"/>
      <c r="BEX12" s="219" t="s">
        <v>47</v>
      </c>
      <c r="BEY12" s="219"/>
      <c r="BEZ12" s="219"/>
      <c r="BFA12" s="219"/>
      <c r="BFB12" s="219"/>
      <c r="BFC12" s="219"/>
      <c r="BFD12" s="219"/>
      <c r="BFE12" s="219"/>
      <c r="BFF12" s="219"/>
      <c r="BFG12" s="219"/>
      <c r="BFH12" s="219"/>
      <c r="BFI12" s="219"/>
      <c r="BFJ12" s="219"/>
      <c r="BFK12" s="219"/>
      <c r="BFL12" s="219"/>
      <c r="BFM12" s="219"/>
      <c r="BFN12" s="219"/>
      <c r="BFO12" s="219"/>
      <c r="BFP12" s="219"/>
      <c r="BFQ12" s="219"/>
      <c r="BFR12" s="219"/>
      <c r="BFS12" s="219"/>
      <c r="BFT12" s="219"/>
      <c r="BFU12" s="219"/>
      <c r="BFV12" s="219"/>
      <c r="BFW12" s="219"/>
      <c r="BFX12" s="219"/>
      <c r="BFY12" s="219"/>
      <c r="BFZ12" s="219"/>
      <c r="BGA12" s="219"/>
      <c r="BGB12" s="219"/>
      <c r="BGC12" s="219"/>
      <c r="BGD12" s="219"/>
      <c r="BGE12" s="219"/>
      <c r="BGF12" s="219"/>
      <c r="BGG12" s="219"/>
      <c r="BGH12" s="219"/>
      <c r="BGI12" s="219"/>
      <c r="BGJ12" s="219"/>
      <c r="BGK12" s="219"/>
      <c r="BGL12" s="219"/>
      <c r="BGM12" s="219"/>
      <c r="BGN12" s="219"/>
      <c r="BGO12" s="219"/>
      <c r="BGP12" s="219"/>
      <c r="BGQ12" s="219"/>
      <c r="BGR12" s="219"/>
      <c r="BGS12" s="219"/>
      <c r="BGT12" s="219"/>
      <c r="BGU12" s="219"/>
      <c r="BGV12" s="219"/>
      <c r="BGW12" s="219"/>
      <c r="BGX12" s="219"/>
      <c r="BGY12" s="219"/>
      <c r="BGZ12" s="219"/>
      <c r="BHA12" s="219"/>
      <c r="BHB12" s="219"/>
      <c r="BHC12" s="219"/>
      <c r="BHD12" s="219"/>
      <c r="BHE12" s="219"/>
      <c r="BHF12" s="219" t="s">
        <v>46</v>
      </c>
      <c r="BHG12" s="219"/>
      <c r="BHH12" s="219"/>
      <c r="BHI12" s="219"/>
      <c r="BHJ12" s="219"/>
      <c r="BHK12" s="219"/>
      <c r="BHL12" s="219"/>
      <c r="BHM12" s="219"/>
      <c r="BHN12" s="219"/>
      <c r="BHO12" s="219"/>
      <c r="BHP12" s="219"/>
      <c r="BHQ12" s="219"/>
      <c r="BHR12" s="219"/>
      <c r="BHS12" s="219"/>
      <c r="BHT12" s="219"/>
      <c r="BHU12" s="219"/>
      <c r="BHV12" s="219"/>
      <c r="BHW12" s="219"/>
      <c r="BHX12" s="219"/>
      <c r="BHY12" s="219"/>
      <c r="BHZ12" s="219"/>
      <c r="BIA12" s="219"/>
      <c r="BIB12" s="219"/>
      <c r="BIC12" s="219"/>
      <c r="BID12" s="219"/>
      <c r="BIE12" s="219"/>
      <c r="BIF12" s="219"/>
      <c r="BIG12" s="219"/>
      <c r="BIH12" s="219"/>
      <c r="BII12" s="219"/>
      <c r="BIJ12" s="219"/>
      <c r="BIK12" s="219"/>
      <c r="BIL12" s="219"/>
      <c r="BIM12" s="219"/>
      <c r="BIN12" s="219"/>
      <c r="BIO12" s="219"/>
      <c r="BIP12" s="219"/>
      <c r="BIQ12" s="219"/>
      <c r="BIR12" s="219"/>
      <c r="BIS12" s="219"/>
      <c r="BIT12" s="219"/>
      <c r="BIU12" s="219"/>
      <c r="BIV12" s="219"/>
      <c r="BIW12" s="219"/>
      <c r="BIX12" s="219"/>
      <c r="BIY12" s="219"/>
      <c r="BIZ12" s="219"/>
      <c r="BJA12" s="219"/>
      <c r="BJB12" s="219"/>
      <c r="BJC12" s="219"/>
      <c r="BJD12" s="219"/>
      <c r="BJE12" s="219"/>
      <c r="BJF12" s="219"/>
      <c r="BJG12" s="219"/>
      <c r="BJH12" s="219"/>
      <c r="BJI12" s="219"/>
      <c r="BJJ12" s="219"/>
      <c r="BJK12" s="219"/>
      <c r="BJL12" s="219"/>
      <c r="BJM12" s="219"/>
      <c r="BJN12" s="219" t="s">
        <v>46</v>
      </c>
      <c r="BJO12" s="219"/>
      <c r="BJP12" s="219"/>
      <c r="BJQ12" s="219"/>
      <c r="BJR12" s="219"/>
      <c r="BJS12" s="219"/>
      <c r="BJT12" s="219"/>
      <c r="BJU12" s="219"/>
      <c r="BJV12" s="219"/>
      <c r="BJW12" s="219"/>
      <c r="BJX12" s="219"/>
      <c r="BJY12" s="219"/>
      <c r="BJZ12" s="219"/>
      <c r="BKA12" s="219"/>
      <c r="BKB12" s="219"/>
      <c r="BKC12" s="219"/>
      <c r="BKD12" s="219"/>
      <c r="BKE12" s="219"/>
      <c r="BKF12" s="219"/>
      <c r="BKG12" s="219"/>
      <c r="BKH12" s="219"/>
      <c r="BKI12" s="219"/>
      <c r="BKJ12" s="219"/>
      <c r="BKK12" s="219"/>
      <c r="BKL12" s="219"/>
      <c r="BKM12" s="219"/>
      <c r="BKN12" s="219"/>
      <c r="BKO12" s="219"/>
      <c r="BKP12" s="219"/>
      <c r="BKQ12" s="219"/>
      <c r="BKR12" s="219"/>
      <c r="BKS12" s="219"/>
      <c r="BKT12" s="219"/>
      <c r="BKU12" s="219"/>
      <c r="BKV12" s="219"/>
      <c r="BKW12" s="219"/>
      <c r="BKX12" s="219"/>
      <c r="BKY12" s="219"/>
      <c r="BKZ12" s="219"/>
      <c r="BLA12" s="219"/>
      <c r="BLB12" s="219"/>
      <c r="BLC12" s="219"/>
      <c r="BLD12" s="219"/>
      <c r="BLE12" s="219"/>
      <c r="BLF12" s="219"/>
      <c r="BLG12" s="219"/>
      <c r="BLH12" s="219"/>
      <c r="BLI12" s="219"/>
      <c r="BLJ12" s="219"/>
      <c r="BLK12" s="219"/>
      <c r="BLL12" s="219"/>
      <c r="BLM12" s="219"/>
      <c r="BLN12" s="219"/>
      <c r="BLO12" s="219"/>
      <c r="BLP12" s="219"/>
      <c r="BLQ12" s="219"/>
      <c r="BLR12" s="219"/>
      <c r="BLS12" s="219"/>
      <c r="BLT12" s="219"/>
      <c r="BLU12" s="219"/>
      <c r="BLV12" s="219" t="s">
        <v>47</v>
      </c>
      <c r="BLW12" s="219"/>
      <c r="BLX12" s="219"/>
      <c r="BLY12" s="219"/>
      <c r="BLZ12" s="219"/>
      <c r="BMA12" s="219"/>
      <c r="BMB12" s="219"/>
      <c r="BMC12" s="219"/>
      <c r="BMD12" s="219"/>
      <c r="BME12" s="219"/>
      <c r="BMF12" s="219"/>
      <c r="BMG12" s="219"/>
      <c r="BMH12" s="219"/>
      <c r="BMI12" s="219"/>
      <c r="BMJ12" s="219"/>
      <c r="BMK12" s="219"/>
      <c r="BML12" s="219"/>
      <c r="BMM12" s="219"/>
      <c r="BMN12" s="219"/>
      <c r="BMO12" s="219"/>
      <c r="BMP12" s="219"/>
      <c r="BMQ12" s="219"/>
      <c r="BMR12" s="219"/>
      <c r="BMS12" s="219"/>
      <c r="BMT12" s="219"/>
      <c r="BMU12" s="219"/>
      <c r="BMV12" s="219"/>
      <c r="BMW12" s="219"/>
      <c r="BMX12" s="219"/>
      <c r="BMY12" s="219"/>
      <c r="BMZ12" s="219"/>
      <c r="BNA12" s="219"/>
      <c r="BNB12" s="219"/>
      <c r="BNC12" s="219"/>
      <c r="BND12" s="219"/>
      <c r="BNE12" s="219"/>
      <c r="BNF12" s="219"/>
      <c r="BNG12" s="219"/>
      <c r="BNH12" s="219"/>
      <c r="BNI12" s="219"/>
      <c r="BNJ12" s="219"/>
      <c r="BNK12" s="219"/>
      <c r="BNL12" s="219"/>
      <c r="BNM12" s="219"/>
      <c r="BNN12" s="219"/>
      <c r="BNO12" s="219"/>
      <c r="BNP12" s="219"/>
      <c r="BNQ12" s="219"/>
      <c r="BNR12" s="219"/>
      <c r="BNS12" s="219"/>
      <c r="BNT12" s="219"/>
      <c r="BNU12" s="219"/>
      <c r="BNV12" s="219"/>
      <c r="BNW12" s="219"/>
      <c r="BNX12" s="219"/>
      <c r="BNY12" s="219"/>
      <c r="BNZ12" s="219"/>
      <c r="BOA12" s="219"/>
      <c r="BOB12" s="219"/>
      <c r="BOC12" s="219"/>
      <c r="BOD12" s="219" t="s">
        <v>46</v>
      </c>
      <c r="BOE12" s="219"/>
      <c r="BOF12" s="219"/>
      <c r="BOG12" s="219"/>
      <c r="BOH12" s="219"/>
      <c r="BOI12" s="219"/>
      <c r="BOJ12" s="219"/>
      <c r="BOK12" s="219"/>
      <c r="BOL12" s="219"/>
      <c r="BOM12" s="219"/>
      <c r="BON12" s="219"/>
      <c r="BOO12" s="219"/>
      <c r="BOP12" s="219"/>
      <c r="BOQ12" s="219"/>
      <c r="BOR12" s="219"/>
      <c r="BOS12" s="219"/>
      <c r="BOT12" s="219"/>
      <c r="BOU12" s="219"/>
      <c r="BOV12" s="219"/>
      <c r="BOW12" s="219"/>
      <c r="BOX12" s="219"/>
      <c r="BOY12" s="219"/>
      <c r="BOZ12" s="219"/>
      <c r="BPA12" s="219"/>
      <c r="BPB12" s="219"/>
      <c r="BPC12" s="219"/>
      <c r="BPD12" s="219"/>
      <c r="BPE12" s="219"/>
      <c r="BPF12" s="219"/>
      <c r="BPG12" s="219"/>
      <c r="BPH12" s="219"/>
      <c r="BPI12" s="219"/>
      <c r="BPJ12" s="219"/>
      <c r="BPK12" s="219"/>
      <c r="BPL12" s="219"/>
      <c r="BPM12" s="219"/>
      <c r="BPN12" s="219"/>
      <c r="BPO12" s="219"/>
      <c r="BPP12" s="219"/>
      <c r="BPQ12" s="219"/>
      <c r="BPR12" s="219"/>
      <c r="BPS12" s="219"/>
      <c r="BPT12" s="219"/>
      <c r="BPU12" s="219"/>
      <c r="BPV12" s="219"/>
      <c r="BPW12" s="219"/>
      <c r="BPX12" s="219"/>
      <c r="BPY12" s="219"/>
      <c r="BPZ12" s="219"/>
      <c r="BQA12" s="219"/>
      <c r="BQB12" s="219"/>
      <c r="BQC12" s="219"/>
      <c r="BQD12" s="219"/>
      <c r="BQE12" s="219"/>
      <c r="BQF12" s="219"/>
      <c r="BQG12" s="219"/>
      <c r="BQH12" s="219"/>
      <c r="BQI12" s="219"/>
      <c r="BQJ12" s="219"/>
      <c r="BQK12" s="219"/>
    </row>
    <row r="13" spans="1:1805" ht="42.75" customHeight="1" thickBot="1" x14ac:dyDescent="0.3">
      <c r="B13" s="53"/>
      <c r="C13" s="230" t="s">
        <v>7</v>
      </c>
      <c r="D13" s="127"/>
      <c r="E13" s="232" t="s">
        <v>39</v>
      </c>
      <c r="F13" s="220" t="s">
        <v>8</v>
      </c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1"/>
      <c r="BI13" s="221"/>
      <c r="BJ13" s="221"/>
      <c r="BK13" s="221"/>
      <c r="BL13" s="221"/>
      <c r="BM13" s="222"/>
      <c r="BN13" s="220" t="s">
        <v>27</v>
      </c>
      <c r="BO13" s="221"/>
      <c r="BP13" s="221"/>
      <c r="BQ13" s="221"/>
      <c r="BR13" s="221"/>
      <c r="BS13" s="221"/>
      <c r="BT13" s="221"/>
      <c r="BU13" s="221"/>
      <c r="BV13" s="221"/>
      <c r="BW13" s="221"/>
      <c r="BX13" s="221"/>
      <c r="BY13" s="221"/>
      <c r="BZ13" s="221"/>
      <c r="CA13" s="221"/>
      <c r="CB13" s="221"/>
      <c r="CC13" s="221"/>
      <c r="CD13" s="221"/>
      <c r="CE13" s="221"/>
      <c r="CF13" s="221"/>
      <c r="CG13" s="221"/>
      <c r="CH13" s="221"/>
      <c r="CI13" s="221"/>
      <c r="CJ13" s="221"/>
      <c r="CK13" s="221"/>
      <c r="CL13" s="221"/>
      <c r="CM13" s="221"/>
      <c r="CN13" s="221"/>
      <c r="CO13" s="221"/>
      <c r="CP13" s="221"/>
      <c r="CQ13" s="221"/>
      <c r="CR13" s="221"/>
      <c r="CS13" s="221"/>
      <c r="CT13" s="221"/>
      <c r="CU13" s="221"/>
      <c r="CV13" s="221"/>
      <c r="CW13" s="221"/>
      <c r="CX13" s="221"/>
      <c r="CY13" s="221"/>
      <c r="CZ13" s="221"/>
      <c r="DA13" s="221"/>
      <c r="DB13" s="221"/>
      <c r="DC13" s="221"/>
      <c r="DD13" s="221"/>
      <c r="DE13" s="221"/>
      <c r="DF13" s="221"/>
      <c r="DG13" s="221"/>
      <c r="DH13" s="221"/>
      <c r="DI13" s="221"/>
      <c r="DJ13" s="221"/>
      <c r="DK13" s="221"/>
      <c r="DL13" s="221"/>
      <c r="DM13" s="221"/>
      <c r="DN13" s="221"/>
      <c r="DO13" s="221"/>
      <c r="DP13" s="221"/>
      <c r="DQ13" s="221"/>
      <c r="DR13" s="221"/>
      <c r="DS13" s="221"/>
      <c r="DT13" s="221"/>
      <c r="DU13" s="222"/>
      <c r="DV13" s="220" t="s">
        <v>18</v>
      </c>
      <c r="DW13" s="221"/>
      <c r="DX13" s="221"/>
      <c r="DY13" s="221"/>
      <c r="DZ13" s="221"/>
      <c r="EA13" s="221"/>
      <c r="EB13" s="221"/>
      <c r="EC13" s="221"/>
      <c r="ED13" s="221"/>
      <c r="EE13" s="221"/>
      <c r="EF13" s="221"/>
      <c r="EG13" s="221"/>
      <c r="EH13" s="221"/>
      <c r="EI13" s="221"/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221"/>
      <c r="EV13" s="221"/>
      <c r="EW13" s="221"/>
      <c r="EX13" s="221"/>
      <c r="EY13" s="221"/>
      <c r="EZ13" s="221"/>
      <c r="FA13" s="221"/>
      <c r="FB13" s="221"/>
      <c r="FC13" s="221"/>
      <c r="FD13" s="221"/>
      <c r="FE13" s="221"/>
      <c r="FF13" s="221"/>
      <c r="FG13" s="221"/>
      <c r="FH13" s="221"/>
      <c r="FI13" s="221"/>
      <c r="FJ13" s="221"/>
      <c r="FK13" s="221"/>
      <c r="FL13" s="221"/>
      <c r="FM13" s="221"/>
      <c r="FN13" s="221"/>
      <c r="FO13" s="221"/>
      <c r="FP13" s="221"/>
      <c r="FQ13" s="221"/>
      <c r="FR13" s="221"/>
      <c r="FS13" s="221"/>
      <c r="FT13" s="221"/>
      <c r="FU13" s="221"/>
      <c r="FV13" s="221"/>
      <c r="FW13" s="221"/>
      <c r="FX13" s="221"/>
      <c r="FY13" s="221"/>
      <c r="FZ13" s="221"/>
      <c r="GA13" s="221"/>
      <c r="GB13" s="221"/>
      <c r="GC13" s="222"/>
      <c r="GD13" s="220" t="s">
        <v>50</v>
      </c>
      <c r="GE13" s="221"/>
      <c r="GF13" s="221"/>
      <c r="GG13" s="221"/>
      <c r="GH13" s="221"/>
      <c r="GI13" s="221"/>
      <c r="GJ13" s="221"/>
      <c r="GK13" s="221"/>
      <c r="GL13" s="221"/>
      <c r="GM13" s="221"/>
      <c r="GN13" s="221"/>
      <c r="GO13" s="221"/>
      <c r="GP13" s="221"/>
      <c r="GQ13" s="221"/>
      <c r="GR13" s="221"/>
      <c r="GS13" s="221"/>
      <c r="GT13" s="221"/>
      <c r="GU13" s="221"/>
      <c r="GV13" s="221"/>
      <c r="GW13" s="221"/>
      <c r="GX13" s="221"/>
      <c r="GY13" s="221"/>
      <c r="GZ13" s="221"/>
      <c r="HA13" s="221"/>
      <c r="HB13" s="221"/>
      <c r="HC13" s="221"/>
      <c r="HD13" s="221"/>
      <c r="HE13" s="221"/>
      <c r="HF13" s="221"/>
      <c r="HG13" s="221"/>
      <c r="HH13" s="221"/>
      <c r="HI13" s="221"/>
      <c r="HJ13" s="221"/>
      <c r="HK13" s="221"/>
      <c r="HL13" s="221"/>
      <c r="HM13" s="221"/>
      <c r="HN13" s="221"/>
      <c r="HO13" s="221"/>
      <c r="HP13" s="221"/>
      <c r="HQ13" s="221"/>
      <c r="HR13" s="221"/>
      <c r="HS13" s="221"/>
      <c r="HT13" s="221"/>
      <c r="HU13" s="221"/>
      <c r="HV13" s="221"/>
      <c r="HW13" s="221"/>
      <c r="HX13" s="221"/>
      <c r="HY13" s="221"/>
      <c r="HZ13" s="221"/>
      <c r="IA13" s="221"/>
      <c r="IB13" s="221"/>
      <c r="IC13" s="221"/>
      <c r="ID13" s="221"/>
      <c r="IE13" s="221"/>
      <c r="IF13" s="221"/>
      <c r="IG13" s="221"/>
      <c r="IH13" s="221"/>
      <c r="II13" s="221"/>
      <c r="IJ13" s="221"/>
      <c r="IK13" s="222"/>
      <c r="IL13" s="220" t="s">
        <v>49</v>
      </c>
      <c r="IM13" s="221"/>
      <c r="IN13" s="221"/>
      <c r="IO13" s="221"/>
      <c r="IP13" s="221"/>
      <c r="IQ13" s="221"/>
      <c r="IR13" s="221"/>
      <c r="IS13" s="221"/>
      <c r="IT13" s="221"/>
      <c r="IU13" s="221"/>
      <c r="IV13" s="221"/>
      <c r="IW13" s="221"/>
      <c r="IX13" s="221"/>
      <c r="IY13" s="221"/>
      <c r="IZ13" s="221"/>
      <c r="JA13" s="221"/>
      <c r="JB13" s="221"/>
      <c r="JC13" s="221"/>
      <c r="JD13" s="221"/>
      <c r="JE13" s="221"/>
      <c r="JF13" s="221"/>
      <c r="JG13" s="221"/>
      <c r="JH13" s="221"/>
      <c r="JI13" s="221"/>
      <c r="JJ13" s="221"/>
      <c r="JK13" s="221"/>
      <c r="JL13" s="221"/>
      <c r="JM13" s="221"/>
      <c r="JN13" s="221"/>
      <c r="JO13" s="221"/>
      <c r="JP13" s="221"/>
      <c r="JQ13" s="221"/>
      <c r="JR13" s="221"/>
      <c r="JS13" s="221"/>
      <c r="JT13" s="221"/>
      <c r="JU13" s="221"/>
      <c r="JV13" s="221"/>
      <c r="JW13" s="221"/>
      <c r="JX13" s="221"/>
      <c r="JY13" s="221"/>
      <c r="JZ13" s="221"/>
      <c r="KA13" s="221"/>
      <c r="KB13" s="221"/>
      <c r="KC13" s="221"/>
      <c r="KD13" s="221"/>
      <c r="KE13" s="221"/>
      <c r="KF13" s="221"/>
      <c r="KG13" s="221"/>
      <c r="KH13" s="221"/>
      <c r="KI13" s="221"/>
      <c r="KJ13" s="221"/>
      <c r="KK13" s="221"/>
      <c r="KL13" s="221"/>
      <c r="KM13" s="221"/>
      <c r="KN13" s="221"/>
      <c r="KO13" s="221"/>
      <c r="KP13" s="221"/>
      <c r="KQ13" s="221"/>
      <c r="KR13" s="221"/>
      <c r="KS13" s="222"/>
      <c r="KT13" s="220" t="s">
        <v>48</v>
      </c>
      <c r="KU13" s="221"/>
      <c r="KV13" s="221"/>
      <c r="KW13" s="221"/>
      <c r="KX13" s="221"/>
      <c r="KY13" s="221"/>
      <c r="KZ13" s="221"/>
      <c r="LA13" s="221"/>
      <c r="LB13" s="221"/>
      <c r="LC13" s="221"/>
      <c r="LD13" s="221"/>
      <c r="LE13" s="221"/>
      <c r="LF13" s="221"/>
      <c r="LG13" s="221"/>
      <c r="LH13" s="221"/>
      <c r="LI13" s="221"/>
      <c r="LJ13" s="221"/>
      <c r="LK13" s="221"/>
      <c r="LL13" s="221"/>
      <c r="LM13" s="221"/>
      <c r="LN13" s="221"/>
      <c r="LO13" s="221"/>
      <c r="LP13" s="221"/>
      <c r="LQ13" s="221"/>
      <c r="LR13" s="221"/>
      <c r="LS13" s="221"/>
      <c r="LT13" s="221"/>
      <c r="LU13" s="221"/>
      <c r="LV13" s="221"/>
      <c r="LW13" s="221"/>
      <c r="LX13" s="221"/>
      <c r="LY13" s="221"/>
      <c r="LZ13" s="221"/>
      <c r="MA13" s="221"/>
      <c r="MB13" s="221"/>
      <c r="MC13" s="221"/>
      <c r="MD13" s="221"/>
      <c r="ME13" s="221"/>
      <c r="MF13" s="221"/>
      <c r="MG13" s="221"/>
      <c r="MH13" s="221"/>
      <c r="MI13" s="221"/>
      <c r="MJ13" s="221"/>
      <c r="MK13" s="221"/>
      <c r="ML13" s="221"/>
      <c r="MM13" s="221"/>
      <c r="MN13" s="221"/>
      <c r="MO13" s="221"/>
      <c r="MP13" s="221"/>
      <c r="MQ13" s="221"/>
      <c r="MR13" s="221"/>
      <c r="MS13" s="221"/>
      <c r="MT13" s="221"/>
      <c r="MU13" s="221"/>
      <c r="MV13" s="221"/>
      <c r="MW13" s="221"/>
      <c r="MX13" s="221"/>
      <c r="MY13" s="221"/>
      <c r="MZ13" s="221"/>
      <c r="NA13" s="222"/>
      <c r="NB13" s="220" t="s">
        <v>51</v>
      </c>
      <c r="NC13" s="221"/>
      <c r="ND13" s="221"/>
      <c r="NE13" s="221"/>
      <c r="NF13" s="221"/>
      <c r="NG13" s="221"/>
      <c r="NH13" s="221"/>
      <c r="NI13" s="221"/>
      <c r="NJ13" s="221"/>
      <c r="NK13" s="221"/>
      <c r="NL13" s="221"/>
      <c r="NM13" s="221"/>
      <c r="NN13" s="221"/>
      <c r="NO13" s="221"/>
      <c r="NP13" s="221"/>
      <c r="NQ13" s="221"/>
      <c r="NR13" s="221"/>
      <c r="NS13" s="221"/>
      <c r="NT13" s="221"/>
      <c r="NU13" s="221"/>
      <c r="NV13" s="221"/>
      <c r="NW13" s="221"/>
      <c r="NX13" s="221"/>
      <c r="NY13" s="221"/>
      <c r="NZ13" s="221"/>
      <c r="OA13" s="221"/>
      <c r="OB13" s="221"/>
      <c r="OC13" s="221"/>
      <c r="OD13" s="221"/>
      <c r="OE13" s="221"/>
      <c r="OF13" s="221"/>
      <c r="OG13" s="221"/>
      <c r="OH13" s="221"/>
      <c r="OI13" s="221"/>
      <c r="OJ13" s="221"/>
      <c r="OK13" s="221"/>
      <c r="OL13" s="221"/>
      <c r="OM13" s="221"/>
      <c r="ON13" s="221"/>
      <c r="OO13" s="221"/>
      <c r="OP13" s="221"/>
      <c r="OQ13" s="221"/>
      <c r="OR13" s="221"/>
      <c r="OS13" s="221"/>
      <c r="OT13" s="221"/>
      <c r="OU13" s="221"/>
      <c r="OV13" s="221"/>
      <c r="OW13" s="221"/>
      <c r="OX13" s="221"/>
      <c r="OY13" s="221"/>
      <c r="OZ13" s="221"/>
      <c r="PA13" s="221"/>
      <c r="PB13" s="221"/>
      <c r="PC13" s="221"/>
      <c r="PD13" s="221"/>
      <c r="PE13" s="221"/>
      <c r="PF13" s="221"/>
      <c r="PG13" s="221"/>
      <c r="PH13" s="221"/>
      <c r="PI13" s="222"/>
      <c r="PJ13" s="220" t="s">
        <v>57</v>
      </c>
      <c r="PK13" s="221"/>
      <c r="PL13" s="221"/>
      <c r="PM13" s="221"/>
      <c r="PN13" s="221"/>
      <c r="PO13" s="221"/>
      <c r="PP13" s="221"/>
      <c r="PQ13" s="221"/>
      <c r="PR13" s="221"/>
      <c r="PS13" s="221"/>
      <c r="PT13" s="221"/>
      <c r="PU13" s="221"/>
      <c r="PV13" s="221"/>
      <c r="PW13" s="221"/>
      <c r="PX13" s="221"/>
      <c r="PY13" s="221"/>
      <c r="PZ13" s="221"/>
      <c r="QA13" s="221"/>
      <c r="QB13" s="221"/>
      <c r="QC13" s="221"/>
      <c r="QD13" s="221"/>
      <c r="QE13" s="221"/>
      <c r="QF13" s="221"/>
      <c r="QG13" s="221"/>
      <c r="QH13" s="221"/>
      <c r="QI13" s="221"/>
      <c r="QJ13" s="221"/>
      <c r="QK13" s="221"/>
      <c r="QL13" s="221"/>
      <c r="QM13" s="221"/>
      <c r="QN13" s="221"/>
      <c r="QO13" s="221"/>
      <c r="QP13" s="221"/>
      <c r="QQ13" s="221"/>
      <c r="QR13" s="221"/>
      <c r="QS13" s="221"/>
      <c r="QT13" s="221"/>
      <c r="QU13" s="221"/>
      <c r="QV13" s="221"/>
      <c r="QW13" s="221"/>
      <c r="QX13" s="221"/>
      <c r="QY13" s="221"/>
      <c r="QZ13" s="221"/>
      <c r="RA13" s="221"/>
      <c r="RB13" s="221"/>
      <c r="RC13" s="221"/>
      <c r="RD13" s="221"/>
      <c r="RE13" s="221"/>
      <c r="RF13" s="221"/>
      <c r="RG13" s="221"/>
      <c r="RH13" s="221"/>
      <c r="RI13" s="221"/>
      <c r="RJ13" s="221"/>
      <c r="RK13" s="221"/>
      <c r="RL13" s="221"/>
      <c r="RM13" s="221"/>
      <c r="RN13" s="221"/>
      <c r="RO13" s="221"/>
      <c r="RP13" s="221"/>
      <c r="RQ13" s="222"/>
      <c r="RR13" s="220" t="s">
        <v>56</v>
      </c>
      <c r="RS13" s="221"/>
      <c r="RT13" s="221"/>
      <c r="RU13" s="221"/>
      <c r="RV13" s="221"/>
      <c r="RW13" s="221"/>
      <c r="RX13" s="221"/>
      <c r="RY13" s="221"/>
      <c r="RZ13" s="221"/>
      <c r="SA13" s="221"/>
      <c r="SB13" s="221"/>
      <c r="SC13" s="221"/>
      <c r="SD13" s="221"/>
      <c r="SE13" s="221"/>
      <c r="SF13" s="221"/>
      <c r="SG13" s="221"/>
      <c r="SH13" s="221"/>
      <c r="SI13" s="221"/>
      <c r="SJ13" s="221"/>
      <c r="SK13" s="221"/>
      <c r="SL13" s="221"/>
      <c r="SM13" s="221"/>
      <c r="SN13" s="221"/>
      <c r="SO13" s="221"/>
      <c r="SP13" s="221"/>
      <c r="SQ13" s="221"/>
      <c r="SR13" s="221"/>
      <c r="SS13" s="221"/>
      <c r="ST13" s="221"/>
      <c r="SU13" s="221"/>
      <c r="SV13" s="221"/>
      <c r="SW13" s="221"/>
      <c r="SX13" s="221"/>
      <c r="SY13" s="221"/>
      <c r="SZ13" s="221"/>
      <c r="TA13" s="221"/>
      <c r="TB13" s="221"/>
      <c r="TC13" s="221"/>
      <c r="TD13" s="221"/>
      <c r="TE13" s="221"/>
      <c r="TF13" s="221"/>
      <c r="TG13" s="221"/>
      <c r="TH13" s="221"/>
      <c r="TI13" s="221"/>
      <c r="TJ13" s="221"/>
      <c r="TK13" s="221"/>
      <c r="TL13" s="221"/>
      <c r="TM13" s="221"/>
      <c r="TN13" s="221"/>
      <c r="TO13" s="221"/>
      <c r="TP13" s="221"/>
      <c r="TQ13" s="221"/>
      <c r="TR13" s="221"/>
      <c r="TS13" s="221"/>
      <c r="TT13" s="221"/>
      <c r="TU13" s="221"/>
      <c r="TV13" s="221"/>
      <c r="TW13" s="221"/>
      <c r="TX13" s="221"/>
      <c r="TY13" s="222"/>
      <c r="TZ13" s="220" t="s">
        <v>55</v>
      </c>
      <c r="UA13" s="221"/>
      <c r="UB13" s="221"/>
      <c r="UC13" s="221"/>
      <c r="UD13" s="221"/>
      <c r="UE13" s="221"/>
      <c r="UF13" s="221"/>
      <c r="UG13" s="221"/>
      <c r="UH13" s="221"/>
      <c r="UI13" s="221"/>
      <c r="UJ13" s="221"/>
      <c r="UK13" s="221"/>
      <c r="UL13" s="221"/>
      <c r="UM13" s="221"/>
      <c r="UN13" s="221"/>
      <c r="UO13" s="221"/>
      <c r="UP13" s="221"/>
      <c r="UQ13" s="221"/>
      <c r="UR13" s="221"/>
      <c r="US13" s="221"/>
      <c r="UT13" s="221"/>
      <c r="UU13" s="221"/>
      <c r="UV13" s="221"/>
      <c r="UW13" s="221"/>
      <c r="UX13" s="221"/>
      <c r="UY13" s="221"/>
      <c r="UZ13" s="221"/>
      <c r="VA13" s="221"/>
      <c r="VB13" s="221"/>
      <c r="VC13" s="221"/>
      <c r="VD13" s="221"/>
      <c r="VE13" s="221"/>
      <c r="VF13" s="221"/>
      <c r="VG13" s="221"/>
      <c r="VH13" s="221"/>
      <c r="VI13" s="221"/>
      <c r="VJ13" s="221"/>
      <c r="VK13" s="221"/>
      <c r="VL13" s="221"/>
      <c r="VM13" s="221"/>
      <c r="VN13" s="221"/>
      <c r="VO13" s="221"/>
      <c r="VP13" s="221"/>
      <c r="VQ13" s="221"/>
      <c r="VR13" s="221"/>
      <c r="VS13" s="221"/>
      <c r="VT13" s="221"/>
      <c r="VU13" s="221"/>
      <c r="VV13" s="221"/>
      <c r="VW13" s="221"/>
      <c r="VX13" s="221"/>
      <c r="VY13" s="221"/>
      <c r="VZ13" s="221"/>
      <c r="WA13" s="221"/>
      <c r="WB13" s="221"/>
      <c r="WC13" s="221"/>
      <c r="WD13" s="221"/>
      <c r="WE13" s="221"/>
      <c r="WF13" s="221"/>
      <c r="WG13" s="222"/>
      <c r="WH13" s="220" t="s">
        <v>76</v>
      </c>
      <c r="WI13" s="221"/>
      <c r="WJ13" s="221"/>
      <c r="WK13" s="221"/>
      <c r="WL13" s="221"/>
      <c r="WM13" s="221"/>
      <c r="WN13" s="221"/>
      <c r="WO13" s="221"/>
      <c r="WP13" s="221"/>
      <c r="WQ13" s="221"/>
      <c r="WR13" s="221"/>
      <c r="WS13" s="221"/>
      <c r="WT13" s="221"/>
      <c r="WU13" s="221"/>
      <c r="WV13" s="221"/>
      <c r="WW13" s="221"/>
      <c r="WX13" s="221"/>
      <c r="WY13" s="221"/>
      <c r="WZ13" s="221"/>
      <c r="XA13" s="221"/>
      <c r="XB13" s="221"/>
      <c r="XC13" s="221"/>
      <c r="XD13" s="221"/>
      <c r="XE13" s="221"/>
      <c r="XF13" s="221"/>
      <c r="XG13" s="221"/>
      <c r="XH13" s="221"/>
      <c r="XI13" s="221"/>
      <c r="XJ13" s="221"/>
      <c r="XK13" s="221"/>
      <c r="XL13" s="221"/>
      <c r="XM13" s="221"/>
      <c r="XN13" s="221"/>
      <c r="XO13" s="221"/>
      <c r="XP13" s="221"/>
      <c r="XQ13" s="221"/>
      <c r="XR13" s="221"/>
      <c r="XS13" s="221"/>
      <c r="XT13" s="221"/>
      <c r="XU13" s="221"/>
      <c r="XV13" s="221"/>
      <c r="XW13" s="221"/>
      <c r="XX13" s="221"/>
      <c r="XY13" s="221"/>
      <c r="XZ13" s="221"/>
      <c r="YA13" s="221"/>
      <c r="YB13" s="221"/>
      <c r="YC13" s="221"/>
      <c r="YD13" s="221"/>
      <c r="YE13" s="221"/>
      <c r="YF13" s="221"/>
      <c r="YG13" s="221"/>
      <c r="YH13" s="221"/>
      <c r="YI13" s="221"/>
      <c r="YJ13" s="221"/>
      <c r="YK13" s="221"/>
      <c r="YL13" s="221"/>
      <c r="YM13" s="221"/>
      <c r="YN13" s="221"/>
      <c r="YO13" s="222"/>
      <c r="YP13" s="220" t="s">
        <v>54</v>
      </c>
      <c r="YQ13" s="221"/>
      <c r="YR13" s="221"/>
      <c r="YS13" s="221"/>
      <c r="YT13" s="221"/>
      <c r="YU13" s="221"/>
      <c r="YV13" s="221"/>
      <c r="YW13" s="221"/>
      <c r="YX13" s="221"/>
      <c r="YY13" s="221"/>
      <c r="YZ13" s="221"/>
      <c r="ZA13" s="221"/>
      <c r="ZB13" s="221"/>
      <c r="ZC13" s="221"/>
      <c r="ZD13" s="221"/>
      <c r="ZE13" s="221"/>
      <c r="ZF13" s="221"/>
      <c r="ZG13" s="221"/>
      <c r="ZH13" s="221"/>
      <c r="ZI13" s="221"/>
      <c r="ZJ13" s="221"/>
      <c r="ZK13" s="221"/>
      <c r="ZL13" s="221"/>
      <c r="ZM13" s="221"/>
      <c r="ZN13" s="221"/>
      <c r="ZO13" s="221"/>
      <c r="ZP13" s="221"/>
      <c r="ZQ13" s="221"/>
      <c r="ZR13" s="221"/>
      <c r="ZS13" s="221"/>
      <c r="ZT13" s="221"/>
      <c r="ZU13" s="221"/>
      <c r="ZV13" s="221"/>
      <c r="ZW13" s="221"/>
      <c r="ZX13" s="221"/>
      <c r="ZY13" s="221"/>
      <c r="ZZ13" s="221"/>
      <c r="AAA13" s="221"/>
      <c r="AAB13" s="221"/>
      <c r="AAC13" s="221"/>
      <c r="AAD13" s="221"/>
      <c r="AAE13" s="221"/>
      <c r="AAF13" s="221"/>
      <c r="AAG13" s="221"/>
      <c r="AAH13" s="221"/>
      <c r="AAI13" s="221"/>
      <c r="AAJ13" s="221"/>
      <c r="AAK13" s="221"/>
      <c r="AAL13" s="221"/>
      <c r="AAM13" s="221"/>
      <c r="AAN13" s="221"/>
      <c r="AAO13" s="221"/>
      <c r="AAP13" s="221"/>
      <c r="AAQ13" s="221"/>
      <c r="AAR13" s="221"/>
      <c r="AAS13" s="221"/>
      <c r="AAT13" s="221"/>
      <c r="AAU13" s="221"/>
      <c r="AAV13" s="221"/>
      <c r="AAW13" s="222"/>
      <c r="AAX13" s="220" t="s">
        <v>53</v>
      </c>
      <c r="AAY13" s="221"/>
      <c r="AAZ13" s="221"/>
      <c r="ABA13" s="221"/>
      <c r="ABB13" s="221"/>
      <c r="ABC13" s="221"/>
      <c r="ABD13" s="221"/>
      <c r="ABE13" s="221"/>
      <c r="ABF13" s="221"/>
      <c r="ABG13" s="221"/>
      <c r="ABH13" s="221"/>
      <c r="ABI13" s="221"/>
      <c r="ABJ13" s="221"/>
      <c r="ABK13" s="221"/>
      <c r="ABL13" s="221"/>
      <c r="ABM13" s="221"/>
      <c r="ABN13" s="221"/>
      <c r="ABO13" s="221"/>
      <c r="ABP13" s="221"/>
      <c r="ABQ13" s="221"/>
      <c r="ABR13" s="221"/>
      <c r="ABS13" s="221"/>
      <c r="ABT13" s="221"/>
      <c r="ABU13" s="221"/>
      <c r="ABV13" s="221"/>
      <c r="ABW13" s="221"/>
      <c r="ABX13" s="221"/>
      <c r="ABY13" s="221"/>
      <c r="ABZ13" s="221"/>
      <c r="ACA13" s="221"/>
      <c r="ACB13" s="221"/>
      <c r="ACC13" s="221"/>
      <c r="ACD13" s="221"/>
      <c r="ACE13" s="221"/>
      <c r="ACF13" s="221"/>
      <c r="ACG13" s="221"/>
      <c r="ACH13" s="221"/>
      <c r="ACI13" s="221"/>
      <c r="ACJ13" s="221"/>
      <c r="ACK13" s="221"/>
      <c r="ACL13" s="221"/>
      <c r="ACM13" s="221"/>
      <c r="ACN13" s="221"/>
      <c r="ACO13" s="221"/>
      <c r="ACP13" s="221"/>
      <c r="ACQ13" s="221"/>
      <c r="ACR13" s="221"/>
      <c r="ACS13" s="221"/>
      <c r="ACT13" s="221"/>
      <c r="ACU13" s="221"/>
      <c r="ACV13" s="221"/>
      <c r="ACW13" s="221"/>
      <c r="ACX13" s="221"/>
      <c r="ACY13" s="221"/>
      <c r="ACZ13" s="221"/>
      <c r="ADA13" s="221"/>
      <c r="ADB13" s="221"/>
      <c r="ADC13" s="221"/>
      <c r="ADD13" s="221"/>
      <c r="ADE13" s="222"/>
      <c r="ADF13" s="220" t="s">
        <v>52</v>
      </c>
      <c r="ADG13" s="221"/>
      <c r="ADH13" s="221"/>
      <c r="ADI13" s="221"/>
      <c r="ADJ13" s="221"/>
      <c r="ADK13" s="221"/>
      <c r="ADL13" s="221"/>
      <c r="ADM13" s="221"/>
      <c r="ADN13" s="221"/>
      <c r="ADO13" s="221"/>
      <c r="ADP13" s="221"/>
      <c r="ADQ13" s="221"/>
      <c r="ADR13" s="221"/>
      <c r="ADS13" s="221"/>
      <c r="ADT13" s="221"/>
      <c r="ADU13" s="221"/>
      <c r="ADV13" s="221"/>
      <c r="ADW13" s="221"/>
      <c r="ADX13" s="221"/>
      <c r="ADY13" s="221"/>
      <c r="ADZ13" s="221"/>
      <c r="AEA13" s="221"/>
      <c r="AEB13" s="221"/>
      <c r="AEC13" s="221"/>
      <c r="AED13" s="221"/>
      <c r="AEE13" s="221"/>
      <c r="AEF13" s="221"/>
      <c r="AEG13" s="221"/>
      <c r="AEH13" s="221"/>
      <c r="AEI13" s="221"/>
      <c r="AEJ13" s="221"/>
      <c r="AEK13" s="221"/>
      <c r="AEL13" s="221"/>
      <c r="AEM13" s="221"/>
      <c r="AEN13" s="221"/>
      <c r="AEO13" s="221"/>
      <c r="AEP13" s="221"/>
      <c r="AEQ13" s="221"/>
      <c r="AER13" s="221"/>
      <c r="AES13" s="221"/>
      <c r="AET13" s="221"/>
      <c r="AEU13" s="221"/>
      <c r="AEV13" s="221"/>
      <c r="AEW13" s="221"/>
      <c r="AEX13" s="221"/>
      <c r="AEY13" s="221"/>
      <c r="AEZ13" s="221"/>
      <c r="AFA13" s="221"/>
      <c r="AFB13" s="221"/>
      <c r="AFC13" s="221"/>
      <c r="AFD13" s="221"/>
      <c r="AFE13" s="221"/>
      <c r="AFF13" s="221"/>
      <c r="AFG13" s="221"/>
      <c r="AFH13" s="221"/>
      <c r="AFI13" s="221"/>
      <c r="AFJ13" s="221"/>
      <c r="AFK13" s="221"/>
      <c r="AFL13" s="221"/>
      <c r="AFM13" s="222"/>
      <c r="AFN13" s="220" t="s">
        <v>69</v>
      </c>
      <c r="AFO13" s="221"/>
      <c r="AFP13" s="221"/>
      <c r="AFQ13" s="221"/>
      <c r="AFR13" s="221"/>
      <c r="AFS13" s="221"/>
      <c r="AFT13" s="221"/>
      <c r="AFU13" s="221"/>
      <c r="AFV13" s="221"/>
      <c r="AFW13" s="221"/>
      <c r="AFX13" s="221"/>
      <c r="AFY13" s="221"/>
      <c r="AFZ13" s="221"/>
      <c r="AGA13" s="221"/>
      <c r="AGB13" s="221"/>
      <c r="AGC13" s="221"/>
      <c r="AGD13" s="221"/>
      <c r="AGE13" s="221"/>
      <c r="AGF13" s="221"/>
      <c r="AGG13" s="221"/>
      <c r="AGH13" s="221"/>
      <c r="AGI13" s="221"/>
      <c r="AGJ13" s="221"/>
      <c r="AGK13" s="221"/>
      <c r="AGL13" s="221"/>
      <c r="AGM13" s="221"/>
      <c r="AGN13" s="221"/>
      <c r="AGO13" s="221"/>
      <c r="AGP13" s="221"/>
      <c r="AGQ13" s="221"/>
      <c r="AGR13" s="221"/>
      <c r="AGS13" s="221"/>
      <c r="AGT13" s="221"/>
      <c r="AGU13" s="221"/>
      <c r="AGV13" s="221"/>
      <c r="AGW13" s="221"/>
      <c r="AGX13" s="221"/>
      <c r="AGY13" s="221"/>
      <c r="AGZ13" s="221"/>
      <c r="AHA13" s="221"/>
      <c r="AHB13" s="221"/>
      <c r="AHC13" s="221"/>
      <c r="AHD13" s="221"/>
      <c r="AHE13" s="221"/>
      <c r="AHF13" s="221"/>
      <c r="AHG13" s="221"/>
      <c r="AHH13" s="221"/>
      <c r="AHI13" s="221"/>
      <c r="AHJ13" s="221"/>
      <c r="AHK13" s="221"/>
      <c r="AHL13" s="221"/>
      <c r="AHM13" s="221"/>
      <c r="AHN13" s="221"/>
      <c r="AHO13" s="221"/>
      <c r="AHP13" s="221"/>
      <c r="AHQ13" s="221"/>
      <c r="AHR13" s="221"/>
      <c r="AHS13" s="221"/>
      <c r="AHT13" s="221"/>
      <c r="AHU13" s="222"/>
      <c r="AHV13" s="220" t="s">
        <v>68</v>
      </c>
      <c r="AHW13" s="221"/>
      <c r="AHX13" s="221"/>
      <c r="AHY13" s="221"/>
      <c r="AHZ13" s="221"/>
      <c r="AIA13" s="221"/>
      <c r="AIB13" s="221"/>
      <c r="AIC13" s="221"/>
      <c r="AID13" s="221"/>
      <c r="AIE13" s="221"/>
      <c r="AIF13" s="221"/>
      <c r="AIG13" s="221"/>
      <c r="AIH13" s="221"/>
      <c r="AII13" s="221"/>
      <c r="AIJ13" s="221"/>
      <c r="AIK13" s="221"/>
      <c r="AIL13" s="221"/>
      <c r="AIM13" s="221"/>
      <c r="AIN13" s="221"/>
      <c r="AIO13" s="221"/>
      <c r="AIP13" s="221"/>
      <c r="AIQ13" s="221"/>
      <c r="AIR13" s="221"/>
      <c r="AIS13" s="221"/>
      <c r="AIT13" s="221"/>
      <c r="AIU13" s="221"/>
      <c r="AIV13" s="221"/>
      <c r="AIW13" s="221"/>
      <c r="AIX13" s="221"/>
      <c r="AIY13" s="221"/>
      <c r="AIZ13" s="221"/>
      <c r="AJA13" s="221"/>
      <c r="AJB13" s="221"/>
      <c r="AJC13" s="221"/>
      <c r="AJD13" s="221"/>
      <c r="AJE13" s="221"/>
      <c r="AJF13" s="221"/>
      <c r="AJG13" s="221"/>
      <c r="AJH13" s="221"/>
      <c r="AJI13" s="221"/>
      <c r="AJJ13" s="221"/>
      <c r="AJK13" s="221"/>
      <c r="AJL13" s="221"/>
      <c r="AJM13" s="221"/>
      <c r="AJN13" s="221"/>
      <c r="AJO13" s="221"/>
      <c r="AJP13" s="221"/>
      <c r="AJQ13" s="221"/>
      <c r="AJR13" s="221"/>
      <c r="AJS13" s="221"/>
      <c r="AJT13" s="221"/>
      <c r="AJU13" s="221"/>
      <c r="AJV13" s="221"/>
      <c r="AJW13" s="221"/>
      <c r="AJX13" s="221"/>
      <c r="AJY13" s="221"/>
      <c r="AJZ13" s="221"/>
      <c r="AKA13" s="221"/>
      <c r="AKB13" s="221"/>
      <c r="AKC13" s="222"/>
      <c r="AKD13" s="220" t="s">
        <v>66</v>
      </c>
      <c r="AKE13" s="221"/>
      <c r="AKF13" s="221"/>
      <c r="AKG13" s="221"/>
      <c r="AKH13" s="221"/>
      <c r="AKI13" s="221"/>
      <c r="AKJ13" s="221"/>
      <c r="AKK13" s="221"/>
      <c r="AKL13" s="221"/>
      <c r="AKM13" s="221"/>
      <c r="AKN13" s="221"/>
      <c r="AKO13" s="221"/>
      <c r="AKP13" s="221"/>
      <c r="AKQ13" s="221"/>
      <c r="AKR13" s="221"/>
      <c r="AKS13" s="221"/>
      <c r="AKT13" s="221"/>
      <c r="AKU13" s="221"/>
      <c r="AKV13" s="221"/>
      <c r="AKW13" s="221"/>
      <c r="AKX13" s="221"/>
      <c r="AKY13" s="221"/>
      <c r="AKZ13" s="221"/>
      <c r="ALA13" s="221"/>
      <c r="ALB13" s="221"/>
      <c r="ALC13" s="221"/>
      <c r="ALD13" s="221"/>
      <c r="ALE13" s="221"/>
      <c r="ALF13" s="221"/>
      <c r="ALG13" s="221"/>
      <c r="ALH13" s="221"/>
      <c r="ALI13" s="221"/>
      <c r="ALJ13" s="221"/>
      <c r="ALK13" s="221"/>
      <c r="ALL13" s="221"/>
      <c r="ALM13" s="221"/>
      <c r="ALN13" s="221"/>
      <c r="ALO13" s="221"/>
      <c r="ALP13" s="221"/>
      <c r="ALQ13" s="221"/>
      <c r="ALR13" s="221"/>
      <c r="ALS13" s="221"/>
      <c r="ALT13" s="221"/>
      <c r="ALU13" s="221"/>
      <c r="ALV13" s="221"/>
      <c r="ALW13" s="221"/>
      <c r="ALX13" s="221"/>
      <c r="ALY13" s="221"/>
      <c r="ALZ13" s="221"/>
      <c r="AMA13" s="221"/>
      <c r="AMB13" s="221"/>
      <c r="AMC13" s="221"/>
      <c r="AMD13" s="221"/>
      <c r="AME13" s="221"/>
      <c r="AMF13" s="221"/>
      <c r="AMG13" s="221"/>
      <c r="AMH13" s="221"/>
      <c r="AMI13" s="221"/>
      <c r="AMJ13" s="221"/>
      <c r="AMK13" s="222"/>
      <c r="AML13" s="220" t="s">
        <v>65</v>
      </c>
      <c r="AMM13" s="221"/>
      <c r="AMN13" s="221"/>
      <c r="AMO13" s="221"/>
      <c r="AMP13" s="221"/>
      <c r="AMQ13" s="221"/>
      <c r="AMR13" s="221"/>
      <c r="AMS13" s="221"/>
      <c r="AMT13" s="221"/>
      <c r="AMU13" s="221"/>
      <c r="AMV13" s="221"/>
      <c r="AMW13" s="221"/>
      <c r="AMX13" s="221"/>
      <c r="AMY13" s="221"/>
      <c r="AMZ13" s="221"/>
      <c r="ANA13" s="221"/>
      <c r="ANB13" s="221"/>
      <c r="ANC13" s="221"/>
      <c r="AND13" s="221"/>
      <c r="ANE13" s="221"/>
      <c r="ANF13" s="221"/>
      <c r="ANG13" s="221"/>
      <c r="ANH13" s="221"/>
      <c r="ANI13" s="221"/>
      <c r="ANJ13" s="221"/>
      <c r="ANK13" s="221"/>
      <c r="ANL13" s="221"/>
      <c r="ANM13" s="221"/>
      <c r="ANN13" s="221"/>
      <c r="ANO13" s="221"/>
      <c r="ANP13" s="221"/>
      <c r="ANQ13" s="221"/>
      <c r="ANR13" s="221"/>
      <c r="ANS13" s="221"/>
      <c r="ANT13" s="221"/>
      <c r="ANU13" s="221"/>
      <c r="ANV13" s="221"/>
      <c r="ANW13" s="221"/>
      <c r="ANX13" s="221"/>
      <c r="ANY13" s="221"/>
      <c r="ANZ13" s="221"/>
      <c r="AOA13" s="221"/>
      <c r="AOB13" s="221"/>
      <c r="AOC13" s="221"/>
      <c r="AOD13" s="221"/>
      <c r="AOE13" s="221"/>
      <c r="AOF13" s="221"/>
      <c r="AOG13" s="221"/>
      <c r="AOH13" s="221"/>
      <c r="AOI13" s="221"/>
      <c r="AOJ13" s="221"/>
      <c r="AOK13" s="221"/>
      <c r="AOL13" s="221"/>
      <c r="AOM13" s="221"/>
      <c r="AON13" s="221"/>
      <c r="AOO13" s="221"/>
      <c r="AOP13" s="221"/>
      <c r="AOQ13" s="221"/>
      <c r="AOR13" s="221"/>
      <c r="AOS13" s="222"/>
      <c r="AOT13" s="220" t="s">
        <v>63</v>
      </c>
      <c r="AOU13" s="221"/>
      <c r="AOV13" s="221"/>
      <c r="AOW13" s="221"/>
      <c r="AOX13" s="221"/>
      <c r="AOY13" s="221"/>
      <c r="AOZ13" s="221"/>
      <c r="APA13" s="221"/>
      <c r="APB13" s="221"/>
      <c r="APC13" s="221"/>
      <c r="APD13" s="221"/>
      <c r="APE13" s="221"/>
      <c r="APF13" s="221"/>
      <c r="APG13" s="221"/>
      <c r="APH13" s="221"/>
      <c r="API13" s="221"/>
      <c r="APJ13" s="221"/>
      <c r="APK13" s="221"/>
      <c r="APL13" s="221"/>
      <c r="APM13" s="221"/>
      <c r="APN13" s="221"/>
      <c r="APO13" s="221"/>
      <c r="APP13" s="221"/>
      <c r="APQ13" s="221"/>
      <c r="APR13" s="221"/>
      <c r="APS13" s="221"/>
      <c r="APT13" s="221"/>
      <c r="APU13" s="221"/>
      <c r="APV13" s="221"/>
      <c r="APW13" s="221"/>
      <c r="APX13" s="221"/>
      <c r="APY13" s="221"/>
      <c r="APZ13" s="221"/>
      <c r="AQA13" s="221"/>
      <c r="AQB13" s="221"/>
      <c r="AQC13" s="221"/>
      <c r="AQD13" s="221"/>
      <c r="AQE13" s="221"/>
      <c r="AQF13" s="221"/>
      <c r="AQG13" s="221"/>
      <c r="AQH13" s="221"/>
      <c r="AQI13" s="221"/>
      <c r="AQJ13" s="221"/>
      <c r="AQK13" s="221"/>
      <c r="AQL13" s="221"/>
      <c r="AQM13" s="221"/>
      <c r="AQN13" s="221"/>
      <c r="AQO13" s="221"/>
      <c r="AQP13" s="221"/>
      <c r="AQQ13" s="221"/>
      <c r="AQR13" s="221"/>
      <c r="AQS13" s="221"/>
      <c r="AQT13" s="221"/>
      <c r="AQU13" s="221"/>
      <c r="AQV13" s="221"/>
      <c r="AQW13" s="221"/>
      <c r="AQX13" s="221"/>
      <c r="AQY13" s="221"/>
      <c r="AQZ13" s="221"/>
      <c r="ARA13" s="222"/>
      <c r="ARB13" s="220" t="s">
        <v>61</v>
      </c>
      <c r="ARC13" s="221"/>
      <c r="ARD13" s="221"/>
      <c r="ARE13" s="221"/>
      <c r="ARF13" s="221"/>
      <c r="ARG13" s="221"/>
      <c r="ARH13" s="221"/>
      <c r="ARI13" s="221"/>
      <c r="ARJ13" s="221"/>
      <c r="ARK13" s="221"/>
      <c r="ARL13" s="221"/>
      <c r="ARM13" s="221"/>
      <c r="ARN13" s="221"/>
      <c r="ARO13" s="221"/>
      <c r="ARP13" s="221"/>
      <c r="ARQ13" s="221"/>
      <c r="ARR13" s="221"/>
      <c r="ARS13" s="221"/>
      <c r="ART13" s="221"/>
      <c r="ARU13" s="221"/>
      <c r="ARV13" s="221"/>
      <c r="ARW13" s="221"/>
      <c r="ARX13" s="221"/>
      <c r="ARY13" s="221"/>
      <c r="ARZ13" s="221"/>
      <c r="ASA13" s="221"/>
      <c r="ASB13" s="221"/>
      <c r="ASC13" s="221"/>
      <c r="ASD13" s="221"/>
      <c r="ASE13" s="221"/>
      <c r="ASF13" s="221"/>
      <c r="ASG13" s="221"/>
      <c r="ASH13" s="221"/>
      <c r="ASI13" s="221"/>
      <c r="ASJ13" s="221"/>
      <c r="ASK13" s="221"/>
      <c r="ASL13" s="221"/>
      <c r="ASM13" s="221"/>
      <c r="ASN13" s="221"/>
      <c r="ASO13" s="221"/>
      <c r="ASP13" s="221"/>
      <c r="ASQ13" s="221"/>
      <c r="ASR13" s="221"/>
      <c r="ASS13" s="221"/>
      <c r="AST13" s="221"/>
      <c r="ASU13" s="221"/>
      <c r="ASV13" s="221"/>
      <c r="ASW13" s="221"/>
      <c r="ASX13" s="221"/>
      <c r="ASY13" s="221"/>
      <c r="ASZ13" s="221"/>
      <c r="ATA13" s="221"/>
      <c r="ATB13" s="221"/>
      <c r="ATC13" s="221"/>
      <c r="ATD13" s="221"/>
      <c r="ATE13" s="221"/>
      <c r="ATF13" s="221"/>
      <c r="ATG13" s="221"/>
      <c r="ATH13" s="221"/>
      <c r="ATI13" s="222"/>
      <c r="ATJ13" s="220" t="s">
        <v>60</v>
      </c>
      <c r="ATK13" s="221"/>
      <c r="ATL13" s="221"/>
      <c r="ATM13" s="221"/>
      <c r="ATN13" s="221"/>
      <c r="ATO13" s="221"/>
      <c r="ATP13" s="221"/>
      <c r="ATQ13" s="221"/>
      <c r="ATR13" s="221"/>
      <c r="ATS13" s="221"/>
      <c r="ATT13" s="221"/>
      <c r="ATU13" s="221"/>
      <c r="ATV13" s="221"/>
      <c r="ATW13" s="221"/>
      <c r="ATX13" s="221"/>
      <c r="ATY13" s="221"/>
      <c r="ATZ13" s="221"/>
      <c r="AUA13" s="221"/>
      <c r="AUB13" s="221"/>
      <c r="AUC13" s="221"/>
      <c r="AUD13" s="221"/>
      <c r="AUE13" s="221"/>
      <c r="AUF13" s="221"/>
      <c r="AUG13" s="221"/>
      <c r="AUH13" s="221"/>
      <c r="AUI13" s="221"/>
      <c r="AUJ13" s="221"/>
      <c r="AUK13" s="221"/>
      <c r="AUL13" s="221"/>
      <c r="AUM13" s="221"/>
      <c r="AUN13" s="221"/>
      <c r="AUO13" s="221"/>
      <c r="AUP13" s="221"/>
      <c r="AUQ13" s="221"/>
      <c r="AUR13" s="221"/>
      <c r="AUS13" s="221"/>
      <c r="AUT13" s="221"/>
      <c r="AUU13" s="221"/>
      <c r="AUV13" s="221"/>
      <c r="AUW13" s="221"/>
      <c r="AUX13" s="221"/>
      <c r="AUY13" s="221"/>
      <c r="AUZ13" s="221"/>
      <c r="AVA13" s="221"/>
      <c r="AVB13" s="221"/>
      <c r="AVC13" s="221"/>
      <c r="AVD13" s="221"/>
      <c r="AVE13" s="221"/>
      <c r="AVF13" s="221"/>
      <c r="AVG13" s="221"/>
      <c r="AVH13" s="221"/>
      <c r="AVI13" s="221"/>
      <c r="AVJ13" s="221"/>
      <c r="AVK13" s="221"/>
      <c r="AVL13" s="221"/>
      <c r="AVM13" s="221"/>
      <c r="AVN13" s="221"/>
      <c r="AVO13" s="221"/>
      <c r="AVP13" s="221"/>
      <c r="AVQ13" s="222"/>
      <c r="AVR13" s="220" t="s">
        <v>144</v>
      </c>
      <c r="AVS13" s="221"/>
      <c r="AVT13" s="221"/>
      <c r="AVU13" s="221"/>
      <c r="AVV13" s="221"/>
      <c r="AVW13" s="221"/>
      <c r="AVX13" s="221"/>
      <c r="AVY13" s="221"/>
      <c r="AVZ13" s="221"/>
      <c r="AWA13" s="221"/>
      <c r="AWB13" s="221"/>
      <c r="AWC13" s="221"/>
      <c r="AWD13" s="221"/>
      <c r="AWE13" s="221"/>
      <c r="AWF13" s="221"/>
      <c r="AWG13" s="221"/>
      <c r="AWH13" s="221"/>
      <c r="AWI13" s="221"/>
      <c r="AWJ13" s="221"/>
      <c r="AWK13" s="221"/>
      <c r="AWL13" s="221"/>
      <c r="AWM13" s="221"/>
      <c r="AWN13" s="221"/>
      <c r="AWO13" s="221"/>
      <c r="AWP13" s="221"/>
      <c r="AWQ13" s="221"/>
      <c r="AWR13" s="221"/>
      <c r="AWS13" s="221"/>
      <c r="AWT13" s="221"/>
      <c r="AWU13" s="221"/>
      <c r="AWV13" s="221"/>
      <c r="AWW13" s="221"/>
      <c r="AWX13" s="221"/>
      <c r="AWY13" s="221"/>
      <c r="AWZ13" s="221"/>
      <c r="AXA13" s="221"/>
      <c r="AXB13" s="221"/>
      <c r="AXC13" s="221"/>
      <c r="AXD13" s="221"/>
      <c r="AXE13" s="221"/>
      <c r="AXF13" s="221"/>
      <c r="AXG13" s="221"/>
      <c r="AXH13" s="221"/>
      <c r="AXI13" s="221"/>
      <c r="AXJ13" s="221"/>
      <c r="AXK13" s="221"/>
      <c r="AXL13" s="221"/>
      <c r="AXM13" s="221"/>
      <c r="AXN13" s="221"/>
      <c r="AXO13" s="221"/>
      <c r="AXP13" s="221"/>
      <c r="AXQ13" s="221"/>
      <c r="AXR13" s="221"/>
      <c r="AXS13" s="221"/>
      <c r="AXT13" s="221"/>
      <c r="AXU13" s="221"/>
      <c r="AXV13" s="221"/>
      <c r="AXW13" s="221"/>
      <c r="AXX13" s="221"/>
      <c r="AXY13" s="222"/>
      <c r="AXZ13" s="220" t="s">
        <v>143</v>
      </c>
      <c r="AYA13" s="221"/>
      <c r="AYB13" s="221"/>
      <c r="AYC13" s="221"/>
      <c r="AYD13" s="221"/>
      <c r="AYE13" s="221"/>
      <c r="AYF13" s="221"/>
      <c r="AYG13" s="221"/>
      <c r="AYH13" s="221"/>
      <c r="AYI13" s="221"/>
      <c r="AYJ13" s="221"/>
      <c r="AYK13" s="221"/>
      <c r="AYL13" s="221"/>
      <c r="AYM13" s="221"/>
      <c r="AYN13" s="221"/>
      <c r="AYO13" s="221"/>
      <c r="AYP13" s="221"/>
      <c r="AYQ13" s="221"/>
      <c r="AYR13" s="221"/>
      <c r="AYS13" s="221"/>
      <c r="AYT13" s="221"/>
      <c r="AYU13" s="221"/>
      <c r="AYV13" s="221"/>
      <c r="AYW13" s="221"/>
      <c r="AYX13" s="221"/>
      <c r="AYY13" s="221"/>
      <c r="AYZ13" s="221"/>
      <c r="AZA13" s="221"/>
      <c r="AZB13" s="221"/>
      <c r="AZC13" s="221"/>
      <c r="AZD13" s="221"/>
      <c r="AZE13" s="221"/>
      <c r="AZF13" s="221"/>
      <c r="AZG13" s="221"/>
      <c r="AZH13" s="221"/>
      <c r="AZI13" s="221"/>
      <c r="AZJ13" s="221"/>
      <c r="AZK13" s="221"/>
      <c r="AZL13" s="221"/>
      <c r="AZM13" s="221"/>
      <c r="AZN13" s="221"/>
      <c r="AZO13" s="221"/>
      <c r="AZP13" s="221"/>
      <c r="AZQ13" s="221"/>
      <c r="AZR13" s="221"/>
      <c r="AZS13" s="221"/>
      <c r="AZT13" s="221"/>
      <c r="AZU13" s="221"/>
      <c r="AZV13" s="221"/>
      <c r="AZW13" s="221"/>
      <c r="AZX13" s="221"/>
      <c r="AZY13" s="221"/>
      <c r="AZZ13" s="221"/>
      <c r="BAA13" s="221"/>
      <c r="BAB13" s="221"/>
      <c r="BAC13" s="221"/>
      <c r="BAD13" s="221"/>
      <c r="BAE13" s="221"/>
      <c r="BAF13" s="221"/>
      <c r="BAG13" s="222"/>
      <c r="BAH13" s="220" t="s">
        <v>142</v>
      </c>
      <c r="BAI13" s="221"/>
      <c r="BAJ13" s="221"/>
      <c r="BAK13" s="221"/>
      <c r="BAL13" s="221"/>
      <c r="BAM13" s="221"/>
      <c r="BAN13" s="221"/>
      <c r="BAO13" s="221"/>
      <c r="BAP13" s="221"/>
      <c r="BAQ13" s="221"/>
      <c r="BAR13" s="221"/>
      <c r="BAS13" s="221"/>
      <c r="BAT13" s="221"/>
      <c r="BAU13" s="221"/>
      <c r="BAV13" s="221"/>
      <c r="BAW13" s="221"/>
      <c r="BAX13" s="221"/>
      <c r="BAY13" s="221"/>
      <c r="BAZ13" s="221"/>
      <c r="BBA13" s="221"/>
      <c r="BBB13" s="221"/>
      <c r="BBC13" s="221"/>
      <c r="BBD13" s="221"/>
      <c r="BBE13" s="221"/>
      <c r="BBF13" s="221"/>
      <c r="BBG13" s="221"/>
      <c r="BBH13" s="221"/>
      <c r="BBI13" s="221"/>
      <c r="BBJ13" s="221"/>
      <c r="BBK13" s="221"/>
      <c r="BBL13" s="221"/>
      <c r="BBM13" s="221"/>
      <c r="BBN13" s="221"/>
      <c r="BBO13" s="221"/>
      <c r="BBP13" s="221"/>
      <c r="BBQ13" s="221"/>
      <c r="BBR13" s="221"/>
      <c r="BBS13" s="221"/>
      <c r="BBT13" s="221"/>
      <c r="BBU13" s="221"/>
      <c r="BBV13" s="221"/>
      <c r="BBW13" s="221"/>
      <c r="BBX13" s="221"/>
      <c r="BBY13" s="221"/>
      <c r="BBZ13" s="221"/>
      <c r="BCA13" s="221"/>
      <c r="BCB13" s="221"/>
      <c r="BCC13" s="221"/>
      <c r="BCD13" s="221"/>
      <c r="BCE13" s="221"/>
      <c r="BCF13" s="221"/>
      <c r="BCG13" s="221"/>
      <c r="BCH13" s="221"/>
      <c r="BCI13" s="221"/>
      <c r="BCJ13" s="221"/>
      <c r="BCK13" s="221"/>
      <c r="BCL13" s="221"/>
      <c r="BCM13" s="221"/>
      <c r="BCN13" s="221"/>
      <c r="BCO13" s="222"/>
      <c r="BCP13" s="220" t="s">
        <v>140</v>
      </c>
      <c r="BCQ13" s="221"/>
      <c r="BCR13" s="221"/>
      <c r="BCS13" s="221"/>
      <c r="BCT13" s="221"/>
      <c r="BCU13" s="221"/>
      <c r="BCV13" s="221"/>
      <c r="BCW13" s="221"/>
      <c r="BCX13" s="221"/>
      <c r="BCY13" s="221"/>
      <c r="BCZ13" s="221"/>
      <c r="BDA13" s="221"/>
      <c r="BDB13" s="221"/>
      <c r="BDC13" s="221"/>
      <c r="BDD13" s="221"/>
      <c r="BDE13" s="221"/>
      <c r="BDF13" s="221"/>
      <c r="BDG13" s="221"/>
      <c r="BDH13" s="221"/>
      <c r="BDI13" s="221"/>
      <c r="BDJ13" s="221"/>
      <c r="BDK13" s="221"/>
      <c r="BDL13" s="221"/>
      <c r="BDM13" s="221"/>
      <c r="BDN13" s="221"/>
      <c r="BDO13" s="221"/>
      <c r="BDP13" s="221"/>
      <c r="BDQ13" s="221"/>
      <c r="BDR13" s="221"/>
      <c r="BDS13" s="221"/>
      <c r="BDT13" s="221"/>
      <c r="BDU13" s="221"/>
      <c r="BDV13" s="221"/>
      <c r="BDW13" s="221"/>
      <c r="BDX13" s="221"/>
      <c r="BDY13" s="221"/>
      <c r="BDZ13" s="221"/>
      <c r="BEA13" s="221"/>
      <c r="BEB13" s="221"/>
      <c r="BEC13" s="221"/>
      <c r="BED13" s="221"/>
      <c r="BEE13" s="221"/>
      <c r="BEF13" s="221"/>
      <c r="BEG13" s="221"/>
      <c r="BEH13" s="221"/>
      <c r="BEI13" s="221"/>
      <c r="BEJ13" s="221"/>
      <c r="BEK13" s="221"/>
      <c r="BEL13" s="221"/>
      <c r="BEM13" s="221"/>
      <c r="BEN13" s="221"/>
      <c r="BEO13" s="221"/>
      <c r="BEP13" s="221"/>
      <c r="BEQ13" s="221"/>
      <c r="BER13" s="221"/>
      <c r="BES13" s="221"/>
      <c r="BET13" s="221"/>
      <c r="BEU13" s="221"/>
      <c r="BEV13" s="221"/>
      <c r="BEW13" s="222"/>
      <c r="BEX13" s="220" t="s">
        <v>138</v>
      </c>
      <c r="BEY13" s="221"/>
      <c r="BEZ13" s="221"/>
      <c r="BFA13" s="221"/>
      <c r="BFB13" s="221"/>
      <c r="BFC13" s="221"/>
      <c r="BFD13" s="221"/>
      <c r="BFE13" s="221"/>
      <c r="BFF13" s="221"/>
      <c r="BFG13" s="221"/>
      <c r="BFH13" s="221"/>
      <c r="BFI13" s="221"/>
      <c r="BFJ13" s="221"/>
      <c r="BFK13" s="221"/>
      <c r="BFL13" s="221"/>
      <c r="BFM13" s="221"/>
      <c r="BFN13" s="221"/>
      <c r="BFO13" s="221"/>
      <c r="BFP13" s="221"/>
      <c r="BFQ13" s="221"/>
      <c r="BFR13" s="221"/>
      <c r="BFS13" s="221"/>
      <c r="BFT13" s="221"/>
      <c r="BFU13" s="221"/>
      <c r="BFV13" s="221"/>
      <c r="BFW13" s="221"/>
      <c r="BFX13" s="221"/>
      <c r="BFY13" s="221"/>
      <c r="BFZ13" s="221"/>
      <c r="BGA13" s="221"/>
      <c r="BGB13" s="221"/>
      <c r="BGC13" s="221"/>
      <c r="BGD13" s="221"/>
      <c r="BGE13" s="221"/>
      <c r="BGF13" s="221"/>
      <c r="BGG13" s="221"/>
      <c r="BGH13" s="221"/>
      <c r="BGI13" s="221"/>
      <c r="BGJ13" s="221"/>
      <c r="BGK13" s="221"/>
      <c r="BGL13" s="221"/>
      <c r="BGM13" s="221"/>
      <c r="BGN13" s="221"/>
      <c r="BGO13" s="221"/>
      <c r="BGP13" s="221"/>
      <c r="BGQ13" s="221"/>
      <c r="BGR13" s="221"/>
      <c r="BGS13" s="221"/>
      <c r="BGT13" s="221"/>
      <c r="BGU13" s="221"/>
      <c r="BGV13" s="221"/>
      <c r="BGW13" s="221"/>
      <c r="BGX13" s="221"/>
      <c r="BGY13" s="221"/>
      <c r="BGZ13" s="221"/>
      <c r="BHA13" s="221"/>
      <c r="BHB13" s="221"/>
      <c r="BHC13" s="221"/>
      <c r="BHD13" s="221"/>
      <c r="BHE13" s="222"/>
      <c r="BHF13" s="220" t="s">
        <v>137</v>
      </c>
      <c r="BHG13" s="221"/>
      <c r="BHH13" s="221"/>
      <c r="BHI13" s="221"/>
      <c r="BHJ13" s="221"/>
      <c r="BHK13" s="221"/>
      <c r="BHL13" s="221"/>
      <c r="BHM13" s="221"/>
      <c r="BHN13" s="221"/>
      <c r="BHO13" s="221"/>
      <c r="BHP13" s="221"/>
      <c r="BHQ13" s="221"/>
      <c r="BHR13" s="221"/>
      <c r="BHS13" s="221"/>
      <c r="BHT13" s="221"/>
      <c r="BHU13" s="221"/>
      <c r="BHV13" s="221"/>
      <c r="BHW13" s="221"/>
      <c r="BHX13" s="221"/>
      <c r="BHY13" s="221"/>
      <c r="BHZ13" s="221"/>
      <c r="BIA13" s="221"/>
      <c r="BIB13" s="221"/>
      <c r="BIC13" s="221"/>
      <c r="BID13" s="221"/>
      <c r="BIE13" s="221"/>
      <c r="BIF13" s="221"/>
      <c r="BIG13" s="221"/>
      <c r="BIH13" s="221"/>
      <c r="BII13" s="221"/>
      <c r="BIJ13" s="221"/>
      <c r="BIK13" s="221"/>
      <c r="BIL13" s="221"/>
      <c r="BIM13" s="221"/>
      <c r="BIN13" s="221"/>
      <c r="BIO13" s="221"/>
      <c r="BIP13" s="221"/>
      <c r="BIQ13" s="221"/>
      <c r="BIR13" s="221"/>
      <c r="BIS13" s="221"/>
      <c r="BIT13" s="221"/>
      <c r="BIU13" s="221"/>
      <c r="BIV13" s="221"/>
      <c r="BIW13" s="221"/>
      <c r="BIX13" s="221"/>
      <c r="BIY13" s="221"/>
      <c r="BIZ13" s="221"/>
      <c r="BJA13" s="221"/>
      <c r="BJB13" s="221"/>
      <c r="BJC13" s="221"/>
      <c r="BJD13" s="221"/>
      <c r="BJE13" s="221"/>
      <c r="BJF13" s="221"/>
      <c r="BJG13" s="221"/>
      <c r="BJH13" s="221"/>
      <c r="BJI13" s="221"/>
      <c r="BJJ13" s="221"/>
      <c r="BJK13" s="221"/>
      <c r="BJL13" s="221"/>
      <c r="BJM13" s="222"/>
      <c r="BJN13" s="220" t="s">
        <v>135</v>
      </c>
      <c r="BJO13" s="221"/>
      <c r="BJP13" s="221"/>
      <c r="BJQ13" s="221"/>
      <c r="BJR13" s="221"/>
      <c r="BJS13" s="221"/>
      <c r="BJT13" s="221"/>
      <c r="BJU13" s="221"/>
      <c r="BJV13" s="221"/>
      <c r="BJW13" s="221"/>
      <c r="BJX13" s="221"/>
      <c r="BJY13" s="221"/>
      <c r="BJZ13" s="221"/>
      <c r="BKA13" s="221"/>
      <c r="BKB13" s="221"/>
      <c r="BKC13" s="221"/>
      <c r="BKD13" s="221"/>
      <c r="BKE13" s="221"/>
      <c r="BKF13" s="221"/>
      <c r="BKG13" s="221"/>
      <c r="BKH13" s="221"/>
      <c r="BKI13" s="221"/>
      <c r="BKJ13" s="221"/>
      <c r="BKK13" s="221"/>
      <c r="BKL13" s="221"/>
      <c r="BKM13" s="221"/>
      <c r="BKN13" s="221"/>
      <c r="BKO13" s="221"/>
      <c r="BKP13" s="221"/>
      <c r="BKQ13" s="221"/>
      <c r="BKR13" s="221"/>
      <c r="BKS13" s="221"/>
      <c r="BKT13" s="221"/>
      <c r="BKU13" s="221"/>
      <c r="BKV13" s="221"/>
      <c r="BKW13" s="221"/>
      <c r="BKX13" s="221"/>
      <c r="BKY13" s="221"/>
      <c r="BKZ13" s="221"/>
      <c r="BLA13" s="221"/>
      <c r="BLB13" s="221"/>
      <c r="BLC13" s="221"/>
      <c r="BLD13" s="221"/>
      <c r="BLE13" s="221"/>
      <c r="BLF13" s="221"/>
      <c r="BLG13" s="221"/>
      <c r="BLH13" s="221"/>
      <c r="BLI13" s="221"/>
      <c r="BLJ13" s="221"/>
      <c r="BLK13" s="221"/>
      <c r="BLL13" s="221"/>
      <c r="BLM13" s="221"/>
      <c r="BLN13" s="221"/>
      <c r="BLO13" s="221"/>
      <c r="BLP13" s="221"/>
      <c r="BLQ13" s="221"/>
      <c r="BLR13" s="221"/>
      <c r="BLS13" s="221"/>
      <c r="BLT13" s="221"/>
      <c r="BLU13" s="222"/>
      <c r="BLV13" s="220" t="s">
        <v>134</v>
      </c>
      <c r="BLW13" s="221"/>
      <c r="BLX13" s="221"/>
      <c r="BLY13" s="221"/>
      <c r="BLZ13" s="221"/>
      <c r="BMA13" s="221"/>
      <c r="BMB13" s="221"/>
      <c r="BMC13" s="221"/>
      <c r="BMD13" s="221"/>
      <c r="BME13" s="221"/>
      <c r="BMF13" s="221"/>
      <c r="BMG13" s="221"/>
      <c r="BMH13" s="221"/>
      <c r="BMI13" s="221"/>
      <c r="BMJ13" s="221"/>
      <c r="BMK13" s="221"/>
      <c r="BML13" s="221"/>
      <c r="BMM13" s="221"/>
      <c r="BMN13" s="221"/>
      <c r="BMO13" s="221"/>
      <c r="BMP13" s="221"/>
      <c r="BMQ13" s="221"/>
      <c r="BMR13" s="221"/>
      <c r="BMS13" s="221"/>
      <c r="BMT13" s="221"/>
      <c r="BMU13" s="221"/>
      <c r="BMV13" s="221"/>
      <c r="BMW13" s="221"/>
      <c r="BMX13" s="221"/>
      <c r="BMY13" s="221"/>
      <c r="BMZ13" s="221"/>
      <c r="BNA13" s="221"/>
      <c r="BNB13" s="221"/>
      <c r="BNC13" s="221"/>
      <c r="BND13" s="221"/>
      <c r="BNE13" s="221"/>
      <c r="BNF13" s="221"/>
      <c r="BNG13" s="221"/>
      <c r="BNH13" s="221"/>
      <c r="BNI13" s="221"/>
      <c r="BNJ13" s="221"/>
      <c r="BNK13" s="221"/>
      <c r="BNL13" s="221"/>
      <c r="BNM13" s="221"/>
      <c r="BNN13" s="221"/>
      <c r="BNO13" s="221"/>
      <c r="BNP13" s="221"/>
      <c r="BNQ13" s="221"/>
      <c r="BNR13" s="221"/>
      <c r="BNS13" s="221"/>
      <c r="BNT13" s="221"/>
      <c r="BNU13" s="221"/>
      <c r="BNV13" s="221"/>
      <c r="BNW13" s="221"/>
      <c r="BNX13" s="221"/>
      <c r="BNY13" s="221"/>
      <c r="BNZ13" s="221"/>
      <c r="BOA13" s="221"/>
      <c r="BOB13" s="221"/>
      <c r="BOC13" s="222"/>
      <c r="BOD13" s="220" t="s">
        <v>132</v>
      </c>
      <c r="BOE13" s="221"/>
      <c r="BOF13" s="221"/>
      <c r="BOG13" s="221"/>
      <c r="BOH13" s="221"/>
      <c r="BOI13" s="221"/>
      <c r="BOJ13" s="221"/>
      <c r="BOK13" s="221"/>
      <c r="BOL13" s="221"/>
      <c r="BOM13" s="221"/>
      <c r="BON13" s="221"/>
      <c r="BOO13" s="221"/>
      <c r="BOP13" s="221"/>
      <c r="BOQ13" s="221"/>
      <c r="BOR13" s="221"/>
      <c r="BOS13" s="221"/>
      <c r="BOT13" s="221"/>
      <c r="BOU13" s="221"/>
      <c r="BOV13" s="221"/>
      <c r="BOW13" s="221"/>
      <c r="BOX13" s="221"/>
      <c r="BOY13" s="221"/>
      <c r="BOZ13" s="221"/>
      <c r="BPA13" s="221"/>
      <c r="BPB13" s="221"/>
      <c r="BPC13" s="221"/>
      <c r="BPD13" s="221"/>
      <c r="BPE13" s="221"/>
      <c r="BPF13" s="221"/>
      <c r="BPG13" s="221"/>
      <c r="BPH13" s="221"/>
      <c r="BPI13" s="221"/>
      <c r="BPJ13" s="221"/>
      <c r="BPK13" s="221"/>
      <c r="BPL13" s="221"/>
      <c r="BPM13" s="221"/>
      <c r="BPN13" s="221"/>
      <c r="BPO13" s="221"/>
      <c r="BPP13" s="221"/>
      <c r="BPQ13" s="221"/>
      <c r="BPR13" s="221"/>
      <c r="BPS13" s="221"/>
      <c r="BPT13" s="221"/>
      <c r="BPU13" s="221"/>
      <c r="BPV13" s="221"/>
      <c r="BPW13" s="221"/>
      <c r="BPX13" s="221"/>
      <c r="BPY13" s="221"/>
      <c r="BPZ13" s="221"/>
      <c r="BQA13" s="221"/>
      <c r="BQB13" s="221"/>
      <c r="BQC13" s="221"/>
      <c r="BQD13" s="221"/>
      <c r="BQE13" s="221"/>
      <c r="BQF13" s="221"/>
      <c r="BQG13" s="221"/>
      <c r="BQH13" s="221"/>
      <c r="BQI13" s="221"/>
      <c r="BQJ13" s="221"/>
      <c r="BQK13" s="222"/>
    </row>
    <row r="14" spans="1:1805" ht="12.75" customHeight="1" thickBot="1" x14ac:dyDescent="0.35">
      <c r="B14" s="53"/>
      <c r="C14" s="231"/>
      <c r="D14" s="128"/>
      <c r="E14" s="233"/>
      <c r="F14" s="87"/>
      <c r="G14" s="88"/>
      <c r="H14" s="88"/>
      <c r="I14" s="88"/>
      <c r="J14" s="223" t="s">
        <v>34</v>
      </c>
      <c r="K14" s="223"/>
      <c r="L14" s="223"/>
      <c r="M14" s="223"/>
      <c r="N14" s="88"/>
      <c r="O14" s="88"/>
      <c r="P14" s="224" t="s">
        <v>23</v>
      </c>
      <c r="Q14" s="224"/>
      <c r="R14" s="224"/>
      <c r="S14" s="224"/>
      <c r="T14" s="112"/>
      <c r="U14" s="112"/>
      <c r="V14" s="223" t="s">
        <v>35</v>
      </c>
      <c r="W14" s="223"/>
      <c r="X14" s="223"/>
      <c r="Y14" s="223"/>
      <c r="Z14" s="88"/>
      <c r="AA14" s="88"/>
      <c r="AB14" s="224" t="s">
        <v>24</v>
      </c>
      <c r="AC14" s="224"/>
      <c r="AD14" s="224"/>
      <c r="AE14" s="224"/>
      <c r="AF14" s="112"/>
      <c r="AG14" s="112"/>
      <c r="AH14" s="223" t="s">
        <v>36</v>
      </c>
      <c r="AI14" s="223"/>
      <c r="AJ14" s="223"/>
      <c r="AK14" s="223"/>
      <c r="AL14" s="88"/>
      <c r="AM14" s="88"/>
      <c r="AN14" s="224" t="s">
        <v>25</v>
      </c>
      <c r="AO14" s="224"/>
      <c r="AP14" s="224"/>
      <c r="AQ14" s="224"/>
      <c r="AR14" s="112"/>
      <c r="AS14" s="112"/>
      <c r="AT14" s="223" t="s">
        <v>37</v>
      </c>
      <c r="AU14" s="223"/>
      <c r="AV14" s="223"/>
      <c r="AW14" s="223"/>
      <c r="AX14" s="88"/>
      <c r="AY14" s="88"/>
      <c r="AZ14" s="224" t="s">
        <v>26</v>
      </c>
      <c r="BA14" s="224"/>
      <c r="BB14" s="224"/>
      <c r="BC14" s="224"/>
      <c r="BD14" s="112"/>
      <c r="BE14" s="112"/>
      <c r="BF14" s="223" t="s">
        <v>38</v>
      </c>
      <c r="BG14" s="223"/>
      <c r="BH14" s="223"/>
      <c r="BI14" s="223"/>
      <c r="BJ14" s="88"/>
      <c r="BK14" s="88"/>
      <c r="BL14" s="88"/>
      <c r="BM14" s="89"/>
      <c r="BN14" s="87"/>
      <c r="BO14" s="88"/>
      <c r="BP14" s="88"/>
      <c r="BQ14" s="88"/>
      <c r="BR14" s="223" t="s">
        <v>34</v>
      </c>
      <c r="BS14" s="223"/>
      <c r="BT14" s="223"/>
      <c r="BU14" s="223"/>
      <c r="BV14" s="88"/>
      <c r="BW14" s="88"/>
      <c r="BX14" s="224" t="s">
        <v>23</v>
      </c>
      <c r="BY14" s="224"/>
      <c r="BZ14" s="224"/>
      <c r="CA14" s="224"/>
      <c r="CB14" s="112"/>
      <c r="CC14" s="112"/>
      <c r="CD14" s="223" t="s">
        <v>35</v>
      </c>
      <c r="CE14" s="223"/>
      <c r="CF14" s="223"/>
      <c r="CG14" s="223"/>
      <c r="CH14" s="88"/>
      <c r="CI14" s="88"/>
      <c r="CJ14" s="224" t="s">
        <v>24</v>
      </c>
      <c r="CK14" s="224"/>
      <c r="CL14" s="224"/>
      <c r="CM14" s="224"/>
      <c r="CN14" s="112"/>
      <c r="CO14" s="112"/>
      <c r="CP14" s="223" t="s">
        <v>36</v>
      </c>
      <c r="CQ14" s="223"/>
      <c r="CR14" s="223"/>
      <c r="CS14" s="223"/>
      <c r="CT14" s="88"/>
      <c r="CU14" s="88"/>
      <c r="CV14" s="224" t="s">
        <v>25</v>
      </c>
      <c r="CW14" s="224"/>
      <c r="CX14" s="224"/>
      <c r="CY14" s="224"/>
      <c r="CZ14" s="112"/>
      <c r="DA14" s="112"/>
      <c r="DB14" s="223" t="s">
        <v>37</v>
      </c>
      <c r="DC14" s="223"/>
      <c r="DD14" s="223"/>
      <c r="DE14" s="223"/>
      <c r="DF14" s="88"/>
      <c r="DG14" s="88"/>
      <c r="DH14" s="224" t="s">
        <v>26</v>
      </c>
      <c r="DI14" s="224"/>
      <c r="DJ14" s="224"/>
      <c r="DK14" s="224"/>
      <c r="DL14" s="112"/>
      <c r="DM14" s="112"/>
      <c r="DN14" s="223" t="s">
        <v>38</v>
      </c>
      <c r="DO14" s="223"/>
      <c r="DP14" s="223"/>
      <c r="DQ14" s="223"/>
      <c r="DR14" s="88"/>
      <c r="DS14" s="88"/>
      <c r="DT14" s="88"/>
      <c r="DU14" s="89"/>
      <c r="DV14" s="87"/>
      <c r="DW14" s="88"/>
      <c r="DX14" s="88"/>
      <c r="DY14" s="88"/>
      <c r="DZ14" s="223" t="s">
        <v>34</v>
      </c>
      <c r="EA14" s="223"/>
      <c r="EB14" s="223"/>
      <c r="EC14" s="223"/>
      <c r="ED14" s="88"/>
      <c r="EE14" s="88"/>
      <c r="EF14" s="224" t="s">
        <v>23</v>
      </c>
      <c r="EG14" s="224"/>
      <c r="EH14" s="224"/>
      <c r="EI14" s="224"/>
      <c r="EJ14" s="112"/>
      <c r="EK14" s="112"/>
      <c r="EL14" s="223" t="s">
        <v>35</v>
      </c>
      <c r="EM14" s="223"/>
      <c r="EN14" s="223"/>
      <c r="EO14" s="223"/>
      <c r="EP14" s="88"/>
      <c r="EQ14" s="88"/>
      <c r="ER14" s="224" t="s">
        <v>24</v>
      </c>
      <c r="ES14" s="224"/>
      <c r="ET14" s="224"/>
      <c r="EU14" s="224"/>
      <c r="EV14" s="112"/>
      <c r="EW14" s="112"/>
      <c r="EX14" s="223" t="s">
        <v>36</v>
      </c>
      <c r="EY14" s="223"/>
      <c r="EZ14" s="223"/>
      <c r="FA14" s="223"/>
      <c r="FB14" s="88"/>
      <c r="FC14" s="88"/>
      <c r="FD14" s="224" t="s">
        <v>25</v>
      </c>
      <c r="FE14" s="224"/>
      <c r="FF14" s="224"/>
      <c r="FG14" s="224"/>
      <c r="FH14" s="112"/>
      <c r="FI14" s="112"/>
      <c r="FJ14" s="223" t="s">
        <v>37</v>
      </c>
      <c r="FK14" s="223"/>
      <c r="FL14" s="223"/>
      <c r="FM14" s="223"/>
      <c r="FN14" s="88"/>
      <c r="FO14" s="88"/>
      <c r="FP14" s="224" t="s">
        <v>26</v>
      </c>
      <c r="FQ14" s="224"/>
      <c r="FR14" s="224"/>
      <c r="FS14" s="224"/>
      <c r="FT14" s="112"/>
      <c r="FU14" s="112"/>
      <c r="FV14" s="223" t="s">
        <v>38</v>
      </c>
      <c r="FW14" s="223"/>
      <c r="FX14" s="223"/>
      <c r="FY14" s="223"/>
      <c r="FZ14" s="88"/>
      <c r="GA14" s="88"/>
      <c r="GB14" s="88"/>
      <c r="GC14" s="89"/>
      <c r="GD14" s="87"/>
      <c r="GE14" s="88"/>
      <c r="GF14" s="88"/>
      <c r="GG14" s="88"/>
      <c r="GH14" s="223" t="s">
        <v>34</v>
      </c>
      <c r="GI14" s="223"/>
      <c r="GJ14" s="223"/>
      <c r="GK14" s="223"/>
      <c r="GL14" s="88"/>
      <c r="GM14" s="88"/>
      <c r="GN14" s="224" t="s">
        <v>23</v>
      </c>
      <c r="GO14" s="224"/>
      <c r="GP14" s="224"/>
      <c r="GQ14" s="224"/>
      <c r="GR14" s="112"/>
      <c r="GS14" s="112"/>
      <c r="GT14" s="223" t="s">
        <v>35</v>
      </c>
      <c r="GU14" s="223"/>
      <c r="GV14" s="223"/>
      <c r="GW14" s="223"/>
      <c r="GX14" s="88"/>
      <c r="GY14" s="88"/>
      <c r="GZ14" s="224" t="s">
        <v>24</v>
      </c>
      <c r="HA14" s="224"/>
      <c r="HB14" s="224"/>
      <c r="HC14" s="224"/>
      <c r="HD14" s="112"/>
      <c r="HE14" s="112"/>
      <c r="HF14" s="223" t="s">
        <v>36</v>
      </c>
      <c r="HG14" s="223"/>
      <c r="HH14" s="223"/>
      <c r="HI14" s="223"/>
      <c r="HJ14" s="88"/>
      <c r="HK14" s="88"/>
      <c r="HL14" s="224" t="s">
        <v>25</v>
      </c>
      <c r="HM14" s="224"/>
      <c r="HN14" s="224"/>
      <c r="HO14" s="224"/>
      <c r="HP14" s="112"/>
      <c r="HQ14" s="112"/>
      <c r="HR14" s="223" t="s">
        <v>37</v>
      </c>
      <c r="HS14" s="223"/>
      <c r="HT14" s="223"/>
      <c r="HU14" s="223"/>
      <c r="HV14" s="88"/>
      <c r="HW14" s="88"/>
      <c r="HX14" s="224" t="s">
        <v>26</v>
      </c>
      <c r="HY14" s="224"/>
      <c r="HZ14" s="224"/>
      <c r="IA14" s="224"/>
      <c r="IB14" s="112"/>
      <c r="IC14" s="112"/>
      <c r="ID14" s="223" t="s">
        <v>38</v>
      </c>
      <c r="IE14" s="223"/>
      <c r="IF14" s="223"/>
      <c r="IG14" s="223"/>
      <c r="IH14" s="88"/>
      <c r="II14" s="88"/>
      <c r="IJ14" s="88"/>
      <c r="IK14" s="89"/>
      <c r="IL14" s="87"/>
      <c r="IM14" s="88"/>
      <c r="IN14" s="88"/>
      <c r="IO14" s="88"/>
      <c r="IP14" s="223" t="s">
        <v>34</v>
      </c>
      <c r="IQ14" s="223"/>
      <c r="IR14" s="223"/>
      <c r="IS14" s="223"/>
      <c r="IT14" s="88"/>
      <c r="IU14" s="88"/>
      <c r="IV14" s="224" t="s">
        <v>23</v>
      </c>
      <c r="IW14" s="224"/>
      <c r="IX14" s="224"/>
      <c r="IY14" s="224"/>
      <c r="IZ14" s="112"/>
      <c r="JA14" s="112"/>
      <c r="JB14" s="223" t="s">
        <v>35</v>
      </c>
      <c r="JC14" s="223"/>
      <c r="JD14" s="223"/>
      <c r="JE14" s="223"/>
      <c r="JF14" s="88"/>
      <c r="JG14" s="88"/>
      <c r="JH14" s="224" t="s">
        <v>24</v>
      </c>
      <c r="JI14" s="224"/>
      <c r="JJ14" s="224"/>
      <c r="JK14" s="224"/>
      <c r="JL14" s="112"/>
      <c r="JM14" s="112"/>
      <c r="JN14" s="223" t="s">
        <v>36</v>
      </c>
      <c r="JO14" s="223"/>
      <c r="JP14" s="223"/>
      <c r="JQ14" s="223"/>
      <c r="JR14" s="88"/>
      <c r="JS14" s="88"/>
      <c r="JT14" s="224" t="s">
        <v>25</v>
      </c>
      <c r="JU14" s="224"/>
      <c r="JV14" s="224"/>
      <c r="JW14" s="224"/>
      <c r="JX14" s="112"/>
      <c r="JY14" s="112"/>
      <c r="JZ14" s="223" t="s">
        <v>37</v>
      </c>
      <c r="KA14" s="223"/>
      <c r="KB14" s="223"/>
      <c r="KC14" s="223"/>
      <c r="KD14" s="88"/>
      <c r="KE14" s="88"/>
      <c r="KF14" s="224" t="s">
        <v>26</v>
      </c>
      <c r="KG14" s="224"/>
      <c r="KH14" s="224"/>
      <c r="KI14" s="224"/>
      <c r="KJ14" s="112"/>
      <c r="KK14" s="112"/>
      <c r="KL14" s="223" t="s">
        <v>38</v>
      </c>
      <c r="KM14" s="223"/>
      <c r="KN14" s="223"/>
      <c r="KO14" s="223"/>
      <c r="KP14" s="88"/>
      <c r="KQ14" s="88"/>
      <c r="KR14" s="88"/>
      <c r="KS14" s="89"/>
      <c r="KT14" s="87"/>
      <c r="KU14" s="88"/>
      <c r="KV14" s="88"/>
      <c r="KW14" s="88"/>
      <c r="KX14" s="223" t="s">
        <v>34</v>
      </c>
      <c r="KY14" s="223"/>
      <c r="KZ14" s="223"/>
      <c r="LA14" s="223"/>
      <c r="LB14" s="88"/>
      <c r="LC14" s="88"/>
      <c r="LD14" s="224" t="s">
        <v>23</v>
      </c>
      <c r="LE14" s="224"/>
      <c r="LF14" s="224"/>
      <c r="LG14" s="224"/>
      <c r="LH14" s="112"/>
      <c r="LI14" s="112"/>
      <c r="LJ14" s="223" t="s">
        <v>35</v>
      </c>
      <c r="LK14" s="223"/>
      <c r="LL14" s="223"/>
      <c r="LM14" s="223"/>
      <c r="LN14" s="88"/>
      <c r="LO14" s="88"/>
      <c r="LP14" s="224" t="s">
        <v>24</v>
      </c>
      <c r="LQ14" s="224"/>
      <c r="LR14" s="224"/>
      <c r="LS14" s="224"/>
      <c r="LT14" s="112"/>
      <c r="LU14" s="112"/>
      <c r="LV14" s="223" t="s">
        <v>36</v>
      </c>
      <c r="LW14" s="223"/>
      <c r="LX14" s="223"/>
      <c r="LY14" s="223"/>
      <c r="LZ14" s="88"/>
      <c r="MA14" s="88"/>
      <c r="MB14" s="224" t="s">
        <v>25</v>
      </c>
      <c r="MC14" s="224"/>
      <c r="MD14" s="224"/>
      <c r="ME14" s="224"/>
      <c r="MF14" s="112"/>
      <c r="MG14" s="112"/>
      <c r="MH14" s="223" t="s">
        <v>37</v>
      </c>
      <c r="MI14" s="223"/>
      <c r="MJ14" s="223"/>
      <c r="MK14" s="223"/>
      <c r="ML14" s="88"/>
      <c r="MM14" s="88"/>
      <c r="MN14" s="224" t="s">
        <v>26</v>
      </c>
      <c r="MO14" s="224"/>
      <c r="MP14" s="224"/>
      <c r="MQ14" s="224"/>
      <c r="MR14" s="112"/>
      <c r="MS14" s="112"/>
      <c r="MT14" s="223" t="s">
        <v>38</v>
      </c>
      <c r="MU14" s="223"/>
      <c r="MV14" s="223"/>
      <c r="MW14" s="223"/>
      <c r="MX14" s="88"/>
      <c r="MY14" s="88"/>
      <c r="MZ14" s="88"/>
      <c r="NA14" s="89"/>
      <c r="NB14" s="87"/>
      <c r="NC14" s="88"/>
      <c r="ND14" s="88"/>
      <c r="NE14" s="88"/>
      <c r="NF14" s="223" t="s">
        <v>34</v>
      </c>
      <c r="NG14" s="223"/>
      <c r="NH14" s="223"/>
      <c r="NI14" s="223"/>
      <c r="NJ14" s="88"/>
      <c r="NK14" s="88"/>
      <c r="NL14" s="224" t="s">
        <v>23</v>
      </c>
      <c r="NM14" s="224"/>
      <c r="NN14" s="224"/>
      <c r="NO14" s="224"/>
      <c r="NP14" s="112"/>
      <c r="NQ14" s="112"/>
      <c r="NR14" s="223" t="s">
        <v>35</v>
      </c>
      <c r="NS14" s="223"/>
      <c r="NT14" s="223"/>
      <c r="NU14" s="223"/>
      <c r="NV14" s="88"/>
      <c r="NW14" s="88"/>
      <c r="NX14" s="224" t="s">
        <v>24</v>
      </c>
      <c r="NY14" s="224"/>
      <c r="NZ14" s="224"/>
      <c r="OA14" s="224"/>
      <c r="OB14" s="112"/>
      <c r="OC14" s="112"/>
      <c r="OD14" s="223" t="s">
        <v>36</v>
      </c>
      <c r="OE14" s="223"/>
      <c r="OF14" s="223"/>
      <c r="OG14" s="223"/>
      <c r="OH14" s="88"/>
      <c r="OI14" s="88"/>
      <c r="OJ14" s="224" t="s">
        <v>25</v>
      </c>
      <c r="OK14" s="224"/>
      <c r="OL14" s="224"/>
      <c r="OM14" s="224"/>
      <c r="ON14" s="112"/>
      <c r="OO14" s="112"/>
      <c r="OP14" s="223" t="s">
        <v>37</v>
      </c>
      <c r="OQ14" s="223"/>
      <c r="OR14" s="223"/>
      <c r="OS14" s="223"/>
      <c r="OT14" s="88"/>
      <c r="OU14" s="88"/>
      <c r="OV14" s="224" t="s">
        <v>26</v>
      </c>
      <c r="OW14" s="224"/>
      <c r="OX14" s="224"/>
      <c r="OY14" s="224"/>
      <c r="OZ14" s="112"/>
      <c r="PA14" s="112"/>
      <c r="PB14" s="223" t="s">
        <v>38</v>
      </c>
      <c r="PC14" s="223"/>
      <c r="PD14" s="223"/>
      <c r="PE14" s="223"/>
      <c r="PF14" s="88"/>
      <c r="PG14" s="88"/>
      <c r="PH14" s="88"/>
      <c r="PI14" s="89"/>
      <c r="PJ14" s="87"/>
      <c r="PK14" s="88"/>
      <c r="PL14" s="88"/>
      <c r="PM14" s="88"/>
      <c r="PN14" s="223" t="s">
        <v>34</v>
      </c>
      <c r="PO14" s="223"/>
      <c r="PP14" s="223"/>
      <c r="PQ14" s="223"/>
      <c r="PR14" s="88"/>
      <c r="PS14" s="88"/>
      <c r="PT14" s="224" t="s">
        <v>23</v>
      </c>
      <c r="PU14" s="224"/>
      <c r="PV14" s="224"/>
      <c r="PW14" s="224"/>
      <c r="PX14" s="112"/>
      <c r="PY14" s="112"/>
      <c r="PZ14" s="223" t="s">
        <v>35</v>
      </c>
      <c r="QA14" s="223"/>
      <c r="QB14" s="223"/>
      <c r="QC14" s="223"/>
      <c r="QD14" s="88"/>
      <c r="QE14" s="88"/>
      <c r="QF14" s="224" t="s">
        <v>24</v>
      </c>
      <c r="QG14" s="224"/>
      <c r="QH14" s="224"/>
      <c r="QI14" s="224"/>
      <c r="QJ14" s="112"/>
      <c r="QK14" s="112"/>
      <c r="QL14" s="223" t="s">
        <v>36</v>
      </c>
      <c r="QM14" s="223"/>
      <c r="QN14" s="223"/>
      <c r="QO14" s="223"/>
      <c r="QP14" s="88"/>
      <c r="QQ14" s="88"/>
      <c r="QR14" s="224" t="s">
        <v>25</v>
      </c>
      <c r="QS14" s="224"/>
      <c r="QT14" s="224"/>
      <c r="QU14" s="224"/>
      <c r="QV14" s="112"/>
      <c r="QW14" s="112"/>
      <c r="QX14" s="223" t="s">
        <v>37</v>
      </c>
      <c r="QY14" s="223"/>
      <c r="QZ14" s="223"/>
      <c r="RA14" s="223"/>
      <c r="RB14" s="88"/>
      <c r="RC14" s="88"/>
      <c r="RD14" s="224" t="s">
        <v>26</v>
      </c>
      <c r="RE14" s="224"/>
      <c r="RF14" s="224"/>
      <c r="RG14" s="224"/>
      <c r="RH14" s="112"/>
      <c r="RI14" s="112"/>
      <c r="RJ14" s="223" t="s">
        <v>38</v>
      </c>
      <c r="RK14" s="223"/>
      <c r="RL14" s="223"/>
      <c r="RM14" s="223"/>
      <c r="RN14" s="88"/>
      <c r="RO14" s="88"/>
      <c r="RP14" s="88"/>
      <c r="RQ14" s="89"/>
      <c r="RR14" s="87"/>
      <c r="RS14" s="88"/>
      <c r="RT14" s="88"/>
      <c r="RU14" s="88"/>
      <c r="RV14" s="223" t="s">
        <v>34</v>
      </c>
      <c r="RW14" s="223"/>
      <c r="RX14" s="223"/>
      <c r="RY14" s="223"/>
      <c r="RZ14" s="88"/>
      <c r="SA14" s="88"/>
      <c r="SB14" s="224" t="s">
        <v>23</v>
      </c>
      <c r="SC14" s="224"/>
      <c r="SD14" s="224"/>
      <c r="SE14" s="224"/>
      <c r="SF14" s="112"/>
      <c r="SG14" s="112"/>
      <c r="SH14" s="223" t="s">
        <v>35</v>
      </c>
      <c r="SI14" s="223"/>
      <c r="SJ14" s="223"/>
      <c r="SK14" s="223"/>
      <c r="SL14" s="88"/>
      <c r="SM14" s="88"/>
      <c r="SN14" s="224" t="s">
        <v>24</v>
      </c>
      <c r="SO14" s="224"/>
      <c r="SP14" s="224"/>
      <c r="SQ14" s="224"/>
      <c r="SR14" s="112"/>
      <c r="SS14" s="112"/>
      <c r="ST14" s="223" t="s">
        <v>36</v>
      </c>
      <c r="SU14" s="223"/>
      <c r="SV14" s="223"/>
      <c r="SW14" s="223"/>
      <c r="SX14" s="88"/>
      <c r="SY14" s="88"/>
      <c r="SZ14" s="224" t="s">
        <v>25</v>
      </c>
      <c r="TA14" s="224"/>
      <c r="TB14" s="224"/>
      <c r="TC14" s="224"/>
      <c r="TD14" s="112"/>
      <c r="TE14" s="112"/>
      <c r="TF14" s="223" t="s">
        <v>37</v>
      </c>
      <c r="TG14" s="223"/>
      <c r="TH14" s="223"/>
      <c r="TI14" s="223"/>
      <c r="TJ14" s="88"/>
      <c r="TK14" s="88"/>
      <c r="TL14" s="224" t="s">
        <v>26</v>
      </c>
      <c r="TM14" s="224"/>
      <c r="TN14" s="224"/>
      <c r="TO14" s="224"/>
      <c r="TP14" s="112"/>
      <c r="TQ14" s="112"/>
      <c r="TR14" s="223" t="s">
        <v>38</v>
      </c>
      <c r="TS14" s="223"/>
      <c r="TT14" s="223"/>
      <c r="TU14" s="223"/>
      <c r="TV14" s="88"/>
      <c r="TW14" s="88"/>
      <c r="TX14" s="88"/>
      <c r="TY14" s="89"/>
      <c r="TZ14" s="87"/>
      <c r="UA14" s="88"/>
      <c r="UB14" s="88"/>
      <c r="UC14" s="88"/>
      <c r="UD14" s="223" t="s">
        <v>34</v>
      </c>
      <c r="UE14" s="223"/>
      <c r="UF14" s="223"/>
      <c r="UG14" s="223"/>
      <c r="UH14" s="88"/>
      <c r="UI14" s="88"/>
      <c r="UJ14" s="224" t="s">
        <v>23</v>
      </c>
      <c r="UK14" s="224"/>
      <c r="UL14" s="224"/>
      <c r="UM14" s="224"/>
      <c r="UN14" s="112"/>
      <c r="UO14" s="112"/>
      <c r="UP14" s="223" t="s">
        <v>35</v>
      </c>
      <c r="UQ14" s="223"/>
      <c r="UR14" s="223"/>
      <c r="US14" s="223"/>
      <c r="UT14" s="88"/>
      <c r="UU14" s="88"/>
      <c r="UV14" s="224" t="s">
        <v>24</v>
      </c>
      <c r="UW14" s="224"/>
      <c r="UX14" s="224"/>
      <c r="UY14" s="224"/>
      <c r="UZ14" s="112"/>
      <c r="VA14" s="112"/>
      <c r="VB14" s="223" t="s">
        <v>36</v>
      </c>
      <c r="VC14" s="223"/>
      <c r="VD14" s="223"/>
      <c r="VE14" s="223"/>
      <c r="VF14" s="88"/>
      <c r="VG14" s="88"/>
      <c r="VH14" s="224" t="s">
        <v>25</v>
      </c>
      <c r="VI14" s="224"/>
      <c r="VJ14" s="224"/>
      <c r="VK14" s="224"/>
      <c r="VL14" s="112"/>
      <c r="VM14" s="112"/>
      <c r="VN14" s="223" t="s">
        <v>37</v>
      </c>
      <c r="VO14" s="223"/>
      <c r="VP14" s="223"/>
      <c r="VQ14" s="223"/>
      <c r="VR14" s="88"/>
      <c r="VS14" s="88"/>
      <c r="VT14" s="224" t="s">
        <v>26</v>
      </c>
      <c r="VU14" s="224"/>
      <c r="VV14" s="224"/>
      <c r="VW14" s="224"/>
      <c r="VX14" s="112"/>
      <c r="VY14" s="112"/>
      <c r="VZ14" s="223" t="s">
        <v>38</v>
      </c>
      <c r="WA14" s="223"/>
      <c r="WB14" s="223"/>
      <c r="WC14" s="223"/>
      <c r="WD14" s="88"/>
      <c r="WE14" s="88"/>
      <c r="WF14" s="88"/>
      <c r="WG14" s="89"/>
      <c r="WH14" s="87"/>
      <c r="WI14" s="88"/>
      <c r="WJ14" s="88"/>
      <c r="WK14" s="88"/>
      <c r="WL14" s="223" t="s">
        <v>34</v>
      </c>
      <c r="WM14" s="223"/>
      <c r="WN14" s="223"/>
      <c r="WO14" s="223"/>
      <c r="WP14" s="88"/>
      <c r="WQ14" s="88"/>
      <c r="WR14" s="224" t="s">
        <v>23</v>
      </c>
      <c r="WS14" s="224"/>
      <c r="WT14" s="224"/>
      <c r="WU14" s="224"/>
      <c r="WV14" s="112"/>
      <c r="WW14" s="112"/>
      <c r="WX14" s="223" t="s">
        <v>35</v>
      </c>
      <c r="WY14" s="223"/>
      <c r="WZ14" s="223"/>
      <c r="XA14" s="223"/>
      <c r="XB14" s="88"/>
      <c r="XC14" s="88"/>
      <c r="XD14" s="224" t="s">
        <v>24</v>
      </c>
      <c r="XE14" s="224"/>
      <c r="XF14" s="224"/>
      <c r="XG14" s="224"/>
      <c r="XH14" s="112"/>
      <c r="XI14" s="112"/>
      <c r="XJ14" s="223" t="s">
        <v>36</v>
      </c>
      <c r="XK14" s="223"/>
      <c r="XL14" s="223"/>
      <c r="XM14" s="223"/>
      <c r="XN14" s="88"/>
      <c r="XO14" s="88"/>
      <c r="XP14" s="224" t="s">
        <v>25</v>
      </c>
      <c r="XQ14" s="224"/>
      <c r="XR14" s="224"/>
      <c r="XS14" s="224"/>
      <c r="XT14" s="112"/>
      <c r="XU14" s="112"/>
      <c r="XV14" s="223" t="s">
        <v>37</v>
      </c>
      <c r="XW14" s="223"/>
      <c r="XX14" s="223"/>
      <c r="XY14" s="223"/>
      <c r="XZ14" s="88"/>
      <c r="YA14" s="88"/>
      <c r="YB14" s="224" t="s">
        <v>26</v>
      </c>
      <c r="YC14" s="224"/>
      <c r="YD14" s="224"/>
      <c r="YE14" s="224"/>
      <c r="YF14" s="112"/>
      <c r="YG14" s="112"/>
      <c r="YH14" s="223" t="s">
        <v>38</v>
      </c>
      <c r="YI14" s="223"/>
      <c r="YJ14" s="223"/>
      <c r="YK14" s="223"/>
      <c r="YL14" s="88"/>
      <c r="YM14" s="88"/>
      <c r="YN14" s="88"/>
      <c r="YO14" s="89"/>
      <c r="YP14" s="87"/>
      <c r="YQ14" s="88"/>
      <c r="YR14" s="88"/>
      <c r="YS14" s="88"/>
      <c r="YT14" s="223" t="s">
        <v>34</v>
      </c>
      <c r="YU14" s="223"/>
      <c r="YV14" s="223"/>
      <c r="YW14" s="223"/>
      <c r="YX14" s="88"/>
      <c r="YY14" s="88"/>
      <c r="YZ14" s="224" t="s">
        <v>23</v>
      </c>
      <c r="ZA14" s="224"/>
      <c r="ZB14" s="224"/>
      <c r="ZC14" s="224"/>
      <c r="ZD14" s="112"/>
      <c r="ZE14" s="112"/>
      <c r="ZF14" s="223" t="s">
        <v>35</v>
      </c>
      <c r="ZG14" s="223"/>
      <c r="ZH14" s="223"/>
      <c r="ZI14" s="223"/>
      <c r="ZJ14" s="88"/>
      <c r="ZK14" s="88"/>
      <c r="ZL14" s="224" t="s">
        <v>24</v>
      </c>
      <c r="ZM14" s="224"/>
      <c r="ZN14" s="224"/>
      <c r="ZO14" s="224"/>
      <c r="ZP14" s="112"/>
      <c r="ZQ14" s="112"/>
      <c r="ZR14" s="223" t="s">
        <v>36</v>
      </c>
      <c r="ZS14" s="223"/>
      <c r="ZT14" s="223"/>
      <c r="ZU14" s="223"/>
      <c r="ZV14" s="88"/>
      <c r="ZW14" s="88"/>
      <c r="ZX14" s="224" t="s">
        <v>25</v>
      </c>
      <c r="ZY14" s="224"/>
      <c r="ZZ14" s="224"/>
      <c r="AAA14" s="224"/>
      <c r="AAB14" s="112"/>
      <c r="AAC14" s="112"/>
      <c r="AAD14" s="223" t="s">
        <v>37</v>
      </c>
      <c r="AAE14" s="223"/>
      <c r="AAF14" s="223"/>
      <c r="AAG14" s="223"/>
      <c r="AAH14" s="88"/>
      <c r="AAI14" s="88"/>
      <c r="AAJ14" s="224" t="s">
        <v>26</v>
      </c>
      <c r="AAK14" s="224"/>
      <c r="AAL14" s="224"/>
      <c r="AAM14" s="224"/>
      <c r="AAN14" s="112"/>
      <c r="AAO14" s="112"/>
      <c r="AAP14" s="223" t="s">
        <v>38</v>
      </c>
      <c r="AAQ14" s="223"/>
      <c r="AAR14" s="223"/>
      <c r="AAS14" s="223"/>
      <c r="AAT14" s="88"/>
      <c r="AAU14" s="88"/>
      <c r="AAV14" s="88"/>
      <c r="AAW14" s="89"/>
      <c r="AAX14" s="87"/>
      <c r="AAY14" s="88"/>
      <c r="AAZ14" s="88"/>
      <c r="ABA14" s="88"/>
      <c r="ABB14" s="223" t="s">
        <v>34</v>
      </c>
      <c r="ABC14" s="223"/>
      <c r="ABD14" s="223"/>
      <c r="ABE14" s="223"/>
      <c r="ABF14" s="88"/>
      <c r="ABG14" s="88"/>
      <c r="ABH14" s="224" t="s">
        <v>23</v>
      </c>
      <c r="ABI14" s="224"/>
      <c r="ABJ14" s="224"/>
      <c r="ABK14" s="224"/>
      <c r="ABL14" s="112"/>
      <c r="ABM14" s="112"/>
      <c r="ABN14" s="223" t="s">
        <v>35</v>
      </c>
      <c r="ABO14" s="223"/>
      <c r="ABP14" s="223"/>
      <c r="ABQ14" s="223"/>
      <c r="ABR14" s="88"/>
      <c r="ABS14" s="88"/>
      <c r="ABT14" s="224" t="s">
        <v>24</v>
      </c>
      <c r="ABU14" s="224"/>
      <c r="ABV14" s="224"/>
      <c r="ABW14" s="224"/>
      <c r="ABX14" s="112"/>
      <c r="ABY14" s="112"/>
      <c r="ABZ14" s="223" t="s">
        <v>36</v>
      </c>
      <c r="ACA14" s="223"/>
      <c r="ACB14" s="223"/>
      <c r="ACC14" s="223"/>
      <c r="ACD14" s="88"/>
      <c r="ACE14" s="88"/>
      <c r="ACF14" s="224" t="s">
        <v>25</v>
      </c>
      <c r="ACG14" s="224"/>
      <c r="ACH14" s="224"/>
      <c r="ACI14" s="224"/>
      <c r="ACJ14" s="112"/>
      <c r="ACK14" s="112"/>
      <c r="ACL14" s="223" t="s">
        <v>37</v>
      </c>
      <c r="ACM14" s="223"/>
      <c r="ACN14" s="223"/>
      <c r="ACO14" s="223"/>
      <c r="ACP14" s="88"/>
      <c r="ACQ14" s="88"/>
      <c r="ACR14" s="224" t="s">
        <v>26</v>
      </c>
      <c r="ACS14" s="224"/>
      <c r="ACT14" s="224"/>
      <c r="ACU14" s="224"/>
      <c r="ACV14" s="112"/>
      <c r="ACW14" s="112"/>
      <c r="ACX14" s="223" t="s">
        <v>38</v>
      </c>
      <c r="ACY14" s="223"/>
      <c r="ACZ14" s="223"/>
      <c r="ADA14" s="223"/>
      <c r="ADB14" s="88"/>
      <c r="ADC14" s="88"/>
      <c r="ADD14" s="88"/>
      <c r="ADE14" s="89"/>
      <c r="ADF14" s="87"/>
      <c r="ADG14" s="88"/>
      <c r="ADH14" s="88"/>
      <c r="ADI14" s="88"/>
      <c r="ADJ14" s="223" t="s">
        <v>34</v>
      </c>
      <c r="ADK14" s="223"/>
      <c r="ADL14" s="223"/>
      <c r="ADM14" s="223"/>
      <c r="ADN14" s="88"/>
      <c r="ADO14" s="88"/>
      <c r="ADP14" s="224" t="s">
        <v>23</v>
      </c>
      <c r="ADQ14" s="224"/>
      <c r="ADR14" s="224"/>
      <c r="ADS14" s="224"/>
      <c r="ADT14" s="112"/>
      <c r="ADU14" s="112"/>
      <c r="ADV14" s="223" t="s">
        <v>35</v>
      </c>
      <c r="ADW14" s="223"/>
      <c r="ADX14" s="223"/>
      <c r="ADY14" s="223"/>
      <c r="ADZ14" s="88"/>
      <c r="AEA14" s="88"/>
      <c r="AEB14" s="224" t="s">
        <v>24</v>
      </c>
      <c r="AEC14" s="224"/>
      <c r="AED14" s="224"/>
      <c r="AEE14" s="224"/>
      <c r="AEF14" s="112"/>
      <c r="AEG14" s="112"/>
      <c r="AEH14" s="223" t="s">
        <v>36</v>
      </c>
      <c r="AEI14" s="223"/>
      <c r="AEJ14" s="223"/>
      <c r="AEK14" s="223"/>
      <c r="AEL14" s="88"/>
      <c r="AEM14" s="88"/>
      <c r="AEN14" s="224" t="s">
        <v>25</v>
      </c>
      <c r="AEO14" s="224"/>
      <c r="AEP14" s="224"/>
      <c r="AEQ14" s="224"/>
      <c r="AER14" s="112"/>
      <c r="AES14" s="112"/>
      <c r="AET14" s="223" t="s">
        <v>37</v>
      </c>
      <c r="AEU14" s="223"/>
      <c r="AEV14" s="223"/>
      <c r="AEW14" s="223"/>
      <c r="AEX14" s="88"/>
      <c r="AEY14" s="88"/>
      <c r="AEZ14" s="224" t="s">
        <v>26</v>
      </c>
      <c r="AFA14" s="224"/>
      <c r="AFB14" s="224"/>
      <c r="AFC14" s="224"/>
      <c r="AFD14" s="112"/>
      <c r="AFE14" s="112"/>
      <c r="AFF14" s="223" t="s">
        <v>38</v>
      </c>
      <c r="AFG14" s="223"/>
      <c r="AFH14" s="223"/>
      <c r="AFI14" s="223"/>
      <c r="AFJ14" s="88"/>
      <c r="AFK14" s="88"/>
      <c r="AFL14" s="88"/>
      <c r="AFM14" s="89"/>
      <c r="AFN14" s="87"/>
      <c r="AFO14" s="88"/>
      <c r="AFP14" s="88"/>
      <c r="AFQ14" s="88"/>
      <c r="AFR14" s="223" t="s">
        <v>34</v>
      </c>
      <c r="AFS14" s="223"/>
      <c r="AFT14" s="223"/>
      <c r="AFU14" s="223"/>
      <c r="AFV14" s="88"/>
      <c r="AFW14" s="88"/>
      <c r="AFX14" s="224" t="s">
        <v>23</v>
      </c>
      <c r="AFY14" s="224"/>
      <c r="AFZ14" s="224"/>
      <c r="AGA14" s="224"/>
      <c r="AGB14" s="112"/>
      <c r="AGC14" s="112"/>
      <c r="AGD14" s="223" t="s">
        <v>35</v>
      </c>
      <c r="AGE14" s="223"/>
      <c r="AGF14" s="223"/>
      <c r="AGG14" s="223"/>
      <c r="AGH14" s="88"/>
      <c r="AGI14" s="88"/>
      <c r="AGJ14" s="224" t="s">
        <v>24</v>
      </c>
      <c r="AGK14" s="224"/>
      <c r="AGL14" s="224"/>
      <c r="AGM14" s="224"/>
      <c r="AGN14" s="112"/>
      <c r="AGO14" s="112"/>
      <c r="AGP14" s="223" t="s">
        <v>36</v>
      </c>
      <c r="AGQ14" s="223"/>
      <c r="AGR14" s="223"/>
      <c r="AGS14" s="223"/>
      <c r="AGT14" s="88"/>
      <c r="AGU14" s="88"/>
      <c r="AGV14" s="224" t="s">
        <v>25</v>
      </c>
      <c r="AGW14" s="224"/>
      <c r="AGX14" s="224"/>
      <c r="AGY14" s="224"/>
      <c r="AGZ14" s="112"/>
      <c r="AHA14" s="112"/>
      <c r="AHB14" s="223" t="s">
        <v>37</v>
      </c>
      <c r="AHC14" s="223"/>
      <c r="AHD14" s="223"/>
      <c r="AHE14" s="223"/>
      <c r="AHF14" s="88"/>
      <c r="AHG14" s="88"/>
      <c r="AHH14" s="224" t="s">
        <v>26</v>
      </c>
      <c r="AHI14" s="224"/>
      <c r="AHJ14" s="224"/>
      <c r="AHK14" s="224"/>
      <c r="AHL14" s="112"/>
      <c r="AHM14" s="112"/>
      <c r="AHN14" s="223" t="s">
        <v>38</v>
      </c>
      <c r="AHO14" s="223"/>
      <c r="AHP14" s="223"/>
      <c r="AHQ14" s="223"/>
      <c r="AHR14" s="88"/>
      <c r="AHS14" s="88"/>
      <c r="AHT14" s="88"/>
      <c r="AHU14" s="89"/>
      <c r="AHV14" s="87"/>
      <c r="AHW14" s="88"/>
      <c r="AHX14" s="88"/>
      <c r="AHY14" s="88"/>
      <c r="AHZ14" s="223" t="s">
        <v>34</v>
      </c>
      <c r="AIA14" s="223"/>
      <c r="AIB14" s="223"/>
      <c r="AIC14" s="223"/>
      <c r="AID14" s="88"/>
      <c r="AIE14" s="88"/>
      <c r="AIF14" s="224" t="s">
        <v>23</v>
      </c>
      <c r="AIG14" s="224"/>
      <c r="AIH14" s="224"/>
      <c r="AII14" s="224"/>
      <c r="AIJ14" s="112"/>
      <c r="AIK14" s="112"/>
      <c r="AIL14" s="223" t="s">
        <v>35</v>
      </c>
      <c r="AIM14" s="223"/>
      <c r="AIN14" s="223"/>
      <c r="AIO14" s="223"/>
      <c r="AIP14" s="88"/>
      <c r="AIQ14" s="88"/>
      <c r="AIR14" s="224" t="s">
        <v>24</v>
      </c>
      <c r="AIS14" s="224"/>
      <c r="AIT14" s="224"/>
      <c r="AIU14" s="224"/>
      <c r="AIV14" s="112"/>
      <c r="AIW14" s="112"/>
      <c r="AIX14" s="223" t="s">
        <v>36</v>
      </c>
      <c r="AIY14" s="223"/>
      <c r="AIZ14" s="223"/>
      <c r="AJA14" s="223"/>
      <c r="AJB14" s="88"/>
      <c r="AJC14" s="88"/>
      <c r="AJD14" s="224" t="s">
        <v>25</v>
      </c>
      <c r="AJE14" s="224"/>
      <c r="AJF14" s="224"/>
      <c r="AJG14" s="224"/>
      <c r="AJH14" s="112"/>
      <c r="AJI14" s="112"/>
      <c r="AJJ14" s="223" t="s">
        <v>37</v>
      </c>
      <c r="AJK14" s="223"/>
      <c r="AJL14" s="223"/>
      <c r="AJM14" s="223"/>
      <c r="AJN14" s="88"/>
      <c r="AJO14" s="88"/>
      <c r="AJP14" s="224" t="s">
        <v>26</v>
      </c>
      <c r="AJQ14" s="224"/>
      <c r="AJR14" s="224"/>
      <c r="AJS14" s="224"/>
      <c r="AJT14" s="112"/>
      <c r="AJU14" s="112"/>
      <c r="AJV14" s="223" t="s">
        <v>38</v>
      </c>
      <c r="AJW14" s="223"/>
      <c r="AJX14" s="223"/>
      <c r="AJY14" s="223"/>
      <c r="AJZ14" s="88"/>
      <c r="AKA14" s="88"/>
      <c r="AKB14" s="88"/>
      <c r="AKC14" s="89"/>
      <c r="AKD14" s="87"/>
      <c r="AKE14" s="88"/>
      <c r="AKF14" s="88"/>
      <c r="AKG14" s="88"/>
      <c r="AKH14" s="223" t="s">
        <v>34</v>
      </c>
      <c r="AKI14" s="223"/>
      <c r="AKJ14" s="223"/>
      <c r="AKK14" s="223"/>
      <c r="AKL14" s="88"/>
      <c r="AKM14" s="88"/>
      <c r="AKN14" s="224" t="s">
        <v>23</v>
      </c>
      <c r="AKO14" s="224"/>
      <c r="AKP14" s="224"/>
      <c r="AKQ14" s="224"/>
      <c r="AKR14" s="112"/>
      <c r="AKS14" s="112"/>
      <c r="AKT14" s="223" t="s">
        <v>35</v>
      </c>
      <c r="AKU14" s="223"/>
      <c r="AKV14" s="223"/>
      <c r="AKW14" s="223"/>
      <c r="AKX14" s="88"/>
      <c r="AKY14" s="88"/>
      <c r="AKZ14" s="224" t="s">
        <v>24</v>
      </c>
      <c r="ALA14" s="224"/>
      <c r="ALB14" s="224"/>
      <c r="ALC14" s="224"/>
      <c r="ALD14" s="112"/>
      <c r="ALE14" s="112"/>
      <c r="ALF14" s="223" t="s">
        <v>36</v>
      </c>
      <c r="ALG14" s="223"/>
      <c r="ALH14" s="223"/>
      <c r="ALI14" s="223"/>
      <c r="ALJ14" s="88"/>
      <c r="ALK14" s="88"/>
      <c r="ALL14" s="224" t="s">
        <v>25</v>
      </c>
      <c r="ALM14" s="224"/>
      <c r="ALN14" s="224"/>
      <c r="ALO14" s="224"/>
      <c r="ALP14" s="112"/>
      <c r="ALQ14" s="112"/>
      <c r="ALR14" s="223" t="s">
        <v>37</v>
      </c>
      <c r="ALS14" s="223"/>
      <c r="ALT14" s="223"/>
      <c r="ALU14" s="223"/>
      <c r="ALV14" s="88"/>
      <c r="ALW14" s="88"/>
      <c r="ALX14" s="224" t="s">
        <v>26</v>
      </c>
      <c r="ALY14" s="224"/>
      <c r="ALZ14" s="224"/>
      <c r="AMA14" s="224"/>
      <c r="AMB14" s="112"/>
      <c r="AMC14" s="112"/>
      <c r="AMD14" s="223" t="s">
        <v>38</v>
      </c>
      <c r="AME14" s="223"/>
      <c r="AMF14" s="223"/>
      <c r="AMG14" s="223"/>
      <c r="AMH14" s="88"/>
      <c r="AMI14" s="88"/>
      <c r="AMJ14" s="88"/>
      <c r="AMK14" s="89"/>
      <c r="AML14" s="87"/>
      <c r="AMM14" s="88"/>
      <c r="AMN14" s="88"/>
      <c r="AMO14" s="88"/>
      <c r="AMP14" s="223" t="s">
        <v>34</v>
      </c>
      <c r="AMQ14" s="223"/>
      <c r="AMR14" s="223"/>
      <c r="AMS14" s="223"/>
      <c r="AMT14" s="88"/>
      <c r="AMU14" s="88"/>
      <c r="AMV14" s="224" t="s">
        <v>23</v>
      </c>
      <c r="AMW14" s="224"/>
      <c r="AMX14" s="224"/>
      <c r="AMY14" s="224"/>
      <c r="AMZ14" s="112"/>
      <c r="ANA14" s="112"/>
      <c r="ANB14" s="223" t="s">
        <v>35</v>
      </c>
      <c r="ANC14" s="223"/>
      <c r="AND14" s="223"/>
      <c r="ANE14" s="223"/>
      <c r="ANF14" s="88"/>
      <c r="ANG14" s="88"/>
      <c r="ANH14" s="224" t="s">
        <v>24</v>
      </c>
      <c r="ANI14" s="224"/>
      <c r="ANJ14" s="224"/>
      <c r="ANK14" s="224"/>
      <c r="ANL14" s="112"/>
      <c r="ANM14" s="112"/>
      <c r="ANN14" s="223" t="s">
        <v>36</v>
      </c>
      <c r="ANO14" s="223"/>
      <c r="ANP14" s="223"/>
      <c r="ANQ14" s="223"/>
      <c r="ANR14" s="88"/>
      <c r="ANS14" s="88"/>
      <c r="ANT14" s="224" t="s">
        <v>25</v>
      </c>
      <c r="ANU14" s="224"/>
      <c r="ANV14" s="224"/>
      <c r="ANW14" s="224"/>
      <c r="ANX14" s="112"/>
      <c r="ANY14" s="112"/>
      <c r="ANZ14" s="223" t="s">
        <v>37</v>
      </c>
      <c r="AOA14" s="223"/>
      <c r="AOB14" s="223"/>
      <c r="AOC14" s="223"/>
      <c r="AOD14" s="88"/>
      <c r="AOE14" s="88"/>
      <c r="AOF14" s="224" t="s">
        <v>26</v>
      </c>
      <c r="AOG14" s="224"/>
      <c r="AOH14" s="224"/>
      <c r="AOI14" s="224"/>
      <c r="AOJ14" s="112"/>
      <c r="AOK14" s="112"/>
      <c r="AOL14" s="223" t="s">
        <v>38</v>
      </c>
      <c r="AOM14" s="223"/>
      <c r="AON14" s="223"/>
      <c r="AOO14" s="223"/>
      <c r="AOP14" s="88"/>
      <c r="AOQ14" s="88"/>
      <c r="AOR14" s="88"/>
      <c r="AOS14" s="89"/>
      <c r="AOT14" s="87"/>
      <c r="AOU14" s="88"/>
      <c r="AOV14" s="88"/>
      <c r="AOW14" s="88"/>
      <c r="AOX14" s="223" t="s">
        <v>34</v>
      </c>
      <c r="AOY14" s="223"/>
      <c r="AOZ14" s="223"/>
      <c r="APA14" s="223"/>
      <c r="APB14" s="88"/>
      <c r="APC14" s="88"/>
      <c r="APD14" s="224" t="s">
        <v>23</v>
      </c>
      <c r="APE14" s="224"/>
      <c r="APF14" s="224"/>
      <c r="APG14" s="224"/>
      <c r="APH14" s="112"/>
      <c r="API14" s="112"/>
      <c r="APJ14" s="223" t="s">
        <v>35</v>
      </c>
      <c r="APK14" s="223"/>
      <c r="APL14" s="223"/>
      <c r="APM14" s="223"/>
      <c r="APN14" s="88"/>
      <c r="APO14" s="88"/>
      <c r="APP14" s="224" t="s">
        <v>24</v>
      </c>
      <c r="APQ14" s="224"/>
      <c r="APR14" s="224"/>
      <c r="APS14" s="224"/>
      <c r="APT14" s="112"/>
      <c r="APU14" s="112"/>
      <c r="APV14" s="223" t="s">
        <v>36</v>
      </c>
      <c r="APW14" s="223"/>
      <c r="APX14" s="223"/>
      <c r="APY14" s="223"/>
      <c r="APZ14" s="88"/>
      <c r="AQA14" s="88"/>
      <c r="AQB14" s="224" t="s">
        <v>25</v>
      </c>
      <c r="AQC14" s="224"/>
      <c r="AQD14" s="224"/>
      <c r="AQE14" s="224"/>
      <c r="AQF14" s="112"/>
      <c r="AQG14" s="112"/>
      <c r="AQH14" s="223" t="s">
        <v>37</v>
      </c>
      <c r="AQI14" s="223"/>
      <c r="AQJ14" s="223"/>
      <c r="AQK14" s="223"/>
      <c r="AQL14" s="88"/>
      <c r="AQM14" s="88"/>
      <c r="AQN14" s="224" t="s">
        <v>26</v>
      </c>
      <c r="AQO14" s="224"/>
      <c r="AQP14" s="224"/>
      <c r="AQQ14" s="224"/>
      <c r="AQR14" s="112"/>
      <c r="AQS14" s="112"/>
      <c r="AQT14" s="223" t="s">
        <v>38</v>
      </c>
      <c r="AQU14" s="223"/>
      <c r="AQV14" s="223"/>
      <c r="AQW14" s="223"/>
      <c r="AQX14" s="88"/>
      <c r="AQY14" s="88"/>
      <c r="AQZ14" s="88"/>
      <c r="ARA14" s="89"/>
      <c r="ARB14" s="87"/>
      <c r="ARC14" s="88"/>
      <c r="ARD14" s="88"/>
      <c r="ARE14" s="88"/>
      <c r="ARF14" s="223" t="s">
        <v>34</v>
      </c>
      <c r="ARG14" s="223"/>
      <c r="ARH14" s="223"/>
      <c r="ARI14" s="223"/>
      <c r="ARJ14" s="88"/>
      <c r="ARK14" s="88"/>
      <c r="ARL14" s="224" t="s">
        <v>23</v>
      </c>
      <c r="ARM14" s="224"/>
      <c r="ARN14" s="224"/>
      <c r="ARO14" s="224"/>
      <c r="ARP14" s="112"/>
      <c r="ARQ14" s="112"/>
      <c r="ARR14" s="223" t="s">
        <v>35</v>
      </c>
      <c r="ARS14" s="223"/>
      <c r="ART14" s="223"/>
      <c r="ARU14" s="223"/>
      <c r="ARV14" s="88"/>
      <c r="ARW14" s="88"/>
      <c r="ARX14" s="224" t="s">
        <v>24</v>
      </c>
      <c r="ARY14" s="224"/>
      <c r="ARZ14" s="224"/>
      <c r="ASA14" s="224"/>
      <c r="ASB14" s="112"/>
      <c r="ASC14" s="112"/>
      <c r="ASD14" s="223" t="s">
        <v>36</v>
      </c>
      <c r="ASE14" s="223"/>
      <c r="ASF14" s="223"/>
      <c r="ASG14" s="223"/>
      <c r="ASH14" s="88"/>
      <c r="ASI14" s="88"/>
      <c r="ASJ14" s="224" t="s">
        <v>25</v>
      </c>
      <c r="ASK14" s="224"/>
      <c r="ASL14" s="224"/>
      <c r="ASM14" s="224"/>
      <c r="ASN14" s="112"/>
      <c r="ASO14" s="112"/>
      <c r="ASP14" s="223" t="s">
        <v>37</v>
      </c>
      <c r="ASQ14" s="223"/>
      <c r="ASR14" s="223"/>
      <c r="ASS14" s="223"/>
      <c r="AST14" s="88"/>
      <c r="ASU14" s="88"/>
      <c r="ASV14" s="224" t="s">
        <v>26</v>
      </c>
      <c r="ASW14" s="224"/>
      <c r="ASX14" s="224"/>
      <c r="ASY14" s="224"/>
      <c r="ASZ14" s="112"/>
      <c r="ATA14" s="112"/>
      <c r="ATB14" s="223" t="s">
        <v>38</v>
      </c>
      <c r="ATC14" s="223"/>
      <c r="ATD14" s="223"/>
      <c r="ATE14" s="223"/>
      <c r="ATF14" s="88"/>
      <c r="ATG14" s="88"/>
      <c r="ATH14" s="88"/>
      <c r="ATI14" s="89"/>
      <c r="ATJ14" s="87"/>
      <c r="ATK14" s="88"/>
      <c r="ATL14" s="88"/>
      <c r="ATM14" s="88"/>
      <c r="ATN14" s="223" t="s">
        <v>34</v>
      </c>
      <c r="ATO14" s="223"/>
      <c r="ATP14" s="223"/>
      <c r="ATQ14" s="223"/>
      <c r="ATR14" s="88"/>
      <c r="ATS14" s="88"/>
      <c r="ATT14" s="224" t="s">
        <v>23</v>
      </c>
      <c r="ATU14" s="224"/>
      <c r="ATV14" s="224"/>
      <c r="ATW14" s="224"/>
      <c r="ATX14" s="112"/>
      <c r="ATY14" s="112"/>
      <c r="ATZ14" s="223" t="s">
        <v>35</v>
      </c>
      <c r="AUA14" s="223"/>
      <c r="AUB14" s="223"/>
      <c r="AUC14" s="223"/>
      <c r="AUD14" s="88"/>
      <c r="AUE14" s="88"/>
      <c r="AUF14" s="224" t="s">
        <v>24</v>
      </c>
      <c r="AUG14" s="224"/>
      <c r="AUH14" s="224"/>
      <c r="AUI14" s="224"/>
      <c r="AUJ14" s="112"/>
      <c r="AUK14" s="112"/>
      <c r="AUL14" s="223" t="s">
        <v>36</v>
      </c>
      <c r="AUM14" s="223"/>
      <c r="AUN14" s="223"/>
      <c r="AUO14" s="223"/>
      <c r="AUP14" s="88"/>
      <c r="AUQ14" s="88"/>
      <c r="AUR14" s="224" t="s">
        <v>25</v>
      </c>
      <c r="AUS14" s="224"/>
      <c r="AUT14" s="224"/>
      <c r="AUU14" s="224"/>
      <c r="AUV14" s="112"/>
      <c r="AUW14" s="112"/>
      <c r="AUX14" s="223" t="s">
        <v>37</v>
      </c>
      <c r="AUY14" s="223"/>
      <c r="AUZ14" s="223"/>
      <c r="AVA14" s="223"/>
      <c r="AVB14" s="88"/>
      <c r="AVC14" s="88"/>
      <c r="AVD14" s="224" t="s">
        <v>26</v>
      </c>
      <c r="AVE14" s="224"/>
      <c r="AVF14" s="224"/>
      <c r="AVG14" s="224"/>
      <c r="AVH14" s="112"/>
      <c r="AVI14" s="112"/>
      <c r="AVJ14" s="223" t="s">
        <v>38</v>
      </c>
      <c r="AVK14" s="223"/>
      <c r="AVL14" s="223"/>
      <c r="AVM14" s="223"/>
      <c r="AVN14" s="88"/>
      <c r="AVO14" s="88"/>
      <c r="AVP14" s="88"/>
      <c r="AVQ14" s="89"/>
      <c r="AVR14" s="87"/>
      <c r="AVS14" s="88"/>
      <c r="AVT14" s="88"/>
      <c r="AVU14" s="88"/>
      <c r="AVV14" s="223" t="s">
        <v>34</v>
      </c>
      <c r="AVW14" s="223"/>
      <c r="AVX14" s="223"/>
      <c r="AVY14" s="223"/>
      <c r="AVZ14" s="88"/>
      <c r="AWA14" s="88"/>
      <c r="AWB14" s="224" t="s">
        <v>23</v>
      </c>
      <c r="AWC14" s="224"/>
      <c r="AWD14" s="224"/>
      <c r="AWE14" s="224"/>
      <c r="AWF14" s="112"/>
      <c r="AWG14" s="112"/>
      <c r="AWH14" s="223" t="s">
        <v>35</v>
      </c>
      <c r="AWI14" s="223"/>
      <c r="AWJ14" s="223"/>
      <c r="AWK14" s="223"/>
      <c r="AWL14" s="88"/>
      <c r="AWM14" s="88"/>
      <c r="AWN14" s="224" t="s">
        <v>24</v>
      </c>
      <c r="AWO14" s="224"/>
      <c r="AWP14" s="224"/>
      <c r="AWQ14" s="224"/>
      <c r="AWR14" s="112"/>
      <c r="AWS14" s="112"/>
      <c r="AWT14" s="223" t="s">
        <v>36</v>
      </c>
      <c r="AWU14" s="223"/>
      <c r="AWV14" s="223"/>
      <c r="AWW14" s="223"/>
      <c r="AWX14" s="88"/>
      <c r="AWY14" s="88"/>
      <c r="AWZ14" s="224" t="s">
        <v>25</v>
      </c>
      <c r="AXA14" s="224"/>
      <c r="AXB14" s="224"/>
      <c r="AXC14" s="224"/>
      <c r="AXD14" s="112"/>
      <c r="AXE14" s="112"/>
      <c r="AXF14" s="223" t="s">
        <v>37</v>
      </c>
      <c r="AXG14" s="223"/>
      <c r="AXH14" s="223"/>
      <c r="AXI14" s="223"/>
      <c r="AXJ14" s="88"/>
      <c r="AXK14" s="88"/>
      <c r="AXL14" s="224" t="s">
        <v>26</v>
      </c>
      <c r="AXM14" s="224"/>
      <c r="AXN14" s="224"/>
      <c r="AXO14" s="224"/>
      <c r="AXP14" s="112"/>
      <c r="AXQ14" s="112"/>
      <c r="AXR14" s="223" t="s">
        <v>38</v>
      </c>
      <c r="AXS14" s="223"/>
      <c r="AXT14" s="223"/>
      <c r="AXU14" s="223"/>
      <c r="AXV14" s="88"/>
      <c r="AXW14" s="88"/>
      <c r="AXX14" s="88"/>
      <c r="AXY14" s="89"/>
      <c r="AXZ14" s="87"/>
      <c r="AYA14" s="88"/>
      <c r="AYB14" s="88"/>
      <c r="AYC14" s="88"/>
      <c r="AYD14" s="223" t="s">
        <v>34</v>
      </c>
      <c r="AYE14" s="223"/>
      <c r="AYF14" s="223"/>
      <c r="AYG14" s="223"/>
      <c r="AYH14" s="88"/>
      <c r="AYI14" s="88"/>
      <c r="AYJ14" s="224" t="s">
        <v>23</v>
      </c>
      <c r="AYK14" s="224"/>
      <c r="AYL14" s="224"/>
      <c r="AYM14" s="224"/>
      <c r="AYN14" s="112"/>
      <c r="AYO14" s="112"/>
      <c r="AYP14" s="223" t="s">
        <v>35</v>
      </c>
      <c r="AYQ14" s="223"/>
      <c r="AYR14" s="223"/>
      <c r="AYS14" s="223"/>
      <c r="AYT14" s="88"/>
      <c r="AYU14" s="88"/>
      <c r="AYV14" s="224" t="s">
        <v>24</v>
      </c>
      <c r="AYW14" s="224"/>
      <c r="AYX14" s="224"/>
      <c r="AYY14" s="224"/>
      <c r="AYZ14" s="112"/>
      <c r="AZA14" s="112"/>
      <c r="AZB14" s="223" t="s">
        <v>36</v>
      </c>
      <c r="AZC14" s="223"/>
      <c r="AZD14" s="223"/>
      <c r="AZE14" s="223"/>
      <c r="AZF14" s="88"/>
      <c r="AZG14" s="88"/>
      <c r="AZH14" s="224" t="s">
        <v>25</v>
      </c>
      <c r="AZI14" s="224"/>
      <c r="AZJ14" s="224"/>
      <c r="AZK14" s="224"/>
      <c r="AZL14" s="112"/>
      <c r="AZM14" s="112"/>
      <c r="AZN14" s="223" t="s">
        <v>37</v>
      </c>
      <c r="AZO14" s="223"/>
      <c r="AZP14" s="223"/>
      <c r="AZQ14" s="223"/>
      <c r="AZR14" s="88"/>
      <c r="AZS14" s="88"/>
      <c r="AZT14" s="224" t="s">
        <v>26</v>
      </c>
      <c r="AZU14" s="224"/>
      <c r="AZV14" s="224"/>
      <c r="AZW14" s="224"/>
      <c r="AZX14" s="112"/>
      <c r="AZY14" s="112"/>
      <c r="AZZ14" s="223" t="s">
        <v>38</v>
      </c>
      <c r="BAA14" s="223"/>
      <c r="BAB14" s="223"/>
      <c r="BAC14" s="223"/>
      <c r="BAD14" s="88"/>
      <c r="BAE14" s="88"/>
      <c r="BAF14" s="88"/>
      <c r="BAG14" s="89"/>
      <c r="BAH14" s="87"/>
      <c r="BAI14" s="88"/>
      <c r="BAJ14" s="88"/>
      <c r="BAK14" s="88"/>
      <c r="BAL14" s="223" t="s">
        <v>34</v>
      </c>
      <c r="BAM14" s="223"/>
      <c r="BAN14" s="223"/>
      <c r="BAO14" s="223"/>
      <c r="BAP14" s="88"/>
      <c r="BAQ14" s="88"/>
      <c r="BAR14" s="224" t="s">
        <v>23</v>
      </c>
      <c r="BAS14" s="224"/>
      <c r="BAT14" s="224"/>
      <c r="BAU14" s="224"/>
      <c r="BAV14" s="112"/>
      <c r="BAW14" s="112"/>
      <c r="BAX14" s="223" t="s">
        <v>35</v>
      </c>
      <c r="BAY14" s="223"/>
      <c r="BAZ14" s="223"/>
      <c r="BBA14" s="223"/>
      <c r="BBB14" s="88"/>
      <c r="BBC14" s="88"/>
      <c r="BBD14" s="224" t="s">
        <v>24</v>
      </c>
      <c r="BBE14" s="224"/>
      <c r="BBF14" s="224"/>
      <c r="BBG14" s="224"/>
      <c r="BBH14" s="112"/>
      <c r="BBI14" s="112"/>
      <c r="BBJ14" s="223" t="s">
        <v>36</v>
      </c>
      <c r="BBK14" s="223"/>
      <c r="BBL14" s="223"/>
      <c r="BBM14" s="223"/>
      <c r="BBN14" s="88"/>
      <c r="BBO14" s="88"/>
      <c r="BBP14" s="224" t="s">
        <v>25</v>
      </c>
      <c r="BBQ14" s="224"/>
      <c r="BBR14" s="224"/>
      <c r="BBS14" s="224"/>
      <c r="BBT14" s="112"/>
      <c r="BBU14" s="112"/>
      <c r="BBV14" s="223" t="s">
        <v>37</v>
      </c>
      <c r="BBW14" s="223"/>
      <c r="BBX14" s="223"/>
      <c r="BBY14" s="223"/>
      <c r="BBZ14" s="88"/>
      <c r="BCA14" s="88"/>
      <c r="BCB14" s="224" t="s">
        <v>26</v>
      </c>
      <c r="BCC14" s="224"/>
      <c r="BCD14" s="224"/>
      <c r="BCE14" s="224"/>
      <c r="BCF14" s="112"/>
      <c r="BCG14" s="112"/>
      <c r="BCH14" s="223" t="s">
        <v>38</v>
      </c>
      <c r="BCI14" s="223"/>
      <c r="BCJ14" s="223"/>
      <c r="BCK14" s="223"/>
      <c r="BCL14" s="88"/>
      <c r="BCM14" s="88"/>
      <c r="BCN14" s="88"/>
      <c r="BCO14" s="89"/>
      <c r="BCP14" s="87"/>
      <c r="BCQ14" s="88"/>
      <c r="BCR14" s="88"/>
      <c r="BCS14" s="88"/>
      <c r="BCT14" s="223" t="s">
        <v>34</v>
      </c>
      <c r="BCU14" s="223"/>
      <c r="BCV14" s="223"/>
      <c r="BCW14" s="223"/>
      <c r="BCX14" s="88"/>
      <c r="BCY14" s="88"/>
      <c r="BCZ14" s="224" t="s">
        <v>23</v>
      </c>
      <c r="BDA14" s="224"/>
      <c r="BDB14" s="224"/>
      <c r="BDC14" s="224"/>
      <c r="BDD14" s="112"/>
      <c r="BDE14" s="112"/>
      <c r="BDF14" s="223" t="s">
        <v>35</v>
      </c>
      <c r="BDG14" s="223"/>
      <c r="BDH14" s="223"/>
      <c r="BDI14" s="223"/>
      <c r="BDJ14" s="88"/>
      <c r="BDK14" s="88"/>
      <c r="BDL14" s="224" t="s">
        <v>24</v>
      </c>
      <c r="BDM14" s="224"/>
      <c r="BDN14" s="224"/>
      <c r="BDO14" s="224"/>
      <c r="BDP14" s="112"/>
      <c r="BDQ14" s="112"/>
      <c r="BDR14" s="223" t="s">
        <v>36</v>
      </c>
      <c r="BDS14" s="223"/>
      <c r="BDT14" s="223"/>
      <c r="BDU14" s="223"/>
      <c r="BDV14" s="88"/>
      <c r="BDW14" s="88"/>
      <c r="BDX14" s="224" t="s">
        <v>25</v>
      </c>
      <c r="BDY14" s="224"/>
      <c r="BDZ14" s="224"/>
      <c r="BEA14" s="224"/>
      <c r="BEB14" s="112"/>
      <c r="BEC14" s="112"/>
      <c r="BED14" s="223" t="s">
        <v>37</v>
      </c>
      <c r="BEE14" s="223"/>
      <c r="BEF14" s="223"/>
      <c r="BEG14" s="223"/>
      <c r="BEH14" s="88"/>
      <c r="BEI14" s="88"/>
      <c r="BEJ14" s="224" t="s">
        <v>26</v>
      </c>
      <c r="BEK14" s="224"/>
      <c r="BEL14" s="224"/>
      <c r="BEM14" s="224"/>
      <c r="BEN14" s="112"/>
      <c r="BEO14" s="112"/>
      <c r="BEP14" s="223" t="s">
        <v>38</v>
      </c>
      <c r="BEQ14" s="223"/>
      <c r="BER14" s="223"/>
      <c r="BES14" s="223"/>
      <c r="BET14" s="88"/>
      <c r="BEU14" s="88"/>
      <c r="BEV14" s="88"/>
      <c r="BEW14" s="89"/>
      <c r="BEX14" s="87"/>
      <c r="BEY14" s="88"/>
      <c r="BEZ14" s="88"/>
      <c r="BFA14" s="88"/>
      <c r="BFB14" s="223" t="s">
        <v>34</v>
      </c>
      <c r="BFC14" s="223"/>
      <c r="BFD14" s="223"/>
      <c r="BFE14" s="223"/>
      <c r="BFF14" s="88"/>
      <c r="BFG14" s="88"/>
      <c r="BFH14" s="224" t="s">
        <v>23</v>
      </c>
      <c r="BFI14" s="224"/>
      <c r="BFJ14" s="224"/>
      <c r="BFK14" s="224"/>
      <c r="BFL14" s="112"/>
      <c r="BFM14" s="112"/>
      <c r="BFN14" s="223" t="s">
        <v>35</v>
      </c>
      <c r="BFO14" s="223"/>
      <c r="BFP14" s="223"/>
      <c r="BFQ14" s="223"/>
      <c r="BFR14" s="88"/>
      <c r="BFS14" s="88"/>
      <c r="BFT14" s="224" t="s">
        <v>24</v>
      </c>
      <c r="BFU14" s="224"/>
      <c r="BFV14" s="224"/>
      <c r="BFW14" s="224"/>
      <c r="BFX14" s="112"/>
      <c r="BFY14" s="112"/>
      <c r="BFZ14" s="223" t="s">
        <v>36</v>
      </c>
      <c r="BGA14" s="223"/>
      <c r="BGB14" s="223"/>
      <c r="BGC14" s="223"/>
      <c r="BGD14" s="88"/>
      <c r="BGE14" s="88"/>
      <c r="BGF14" s="224" t="s">
        <v>25</v>
      </c>
      <c r="BGG14" s="224"/>
      <c r="BGH14" s="224"/>
      <c r="BGI14" s="224"/>
      <c r="BGJ14" s="112"/>
      <c r="BGK14" s="112"/>
      <c r="BGL14" s="223" t="s">
        <v>37</v>
      </c>
      <c r="BGM14" s="223"/>
      <c r="BGN14" s="223"/>
      <c r="BGO14" s="223"/>
      <c r="BGP14" s="88"/>
      <c r="BGQ14" s="88"/>
      <c r="BGR14" s="224" t="s">
        <v>26</v>
      </c>
      <c r="BGS14" s="224"/>
      <c r="BGT14" s="224"/>
      <c r="BGU14" s="224"/>
      <c r="BGV14" s="112"/>
      <c r="BGW14" s="112"/>
      <c r="BGX14" s="223" t="s">
        <v>38</v>
      </c>
      <c r="BGY14" s="223"/>
      <c r="BGZ14" s="223"/>
      <c r="BHA14" s="223"/>
      <c r="BHB14" s="88"/>
      <c r="BHC14" s="88"/>
      <c r="BHD14" s="88"/>
      <c r="BHE14" s="89"/>
      <c r="BHF14" s="87"/>
      <c r="BHG14" s="88"/>
      <c r="BHH14" s="88"/>
      <c r="BHI14" s="88"/>
      <c r="BHJ14" s="223" t="s">
        <v>34</v>
      </c>
      <c r="BHK14" s="223"/>
      <c r="BHL14" s="223"/>
      <c r="BHM14" s="223"/>
      <c r="BHN14" s="88"/>
      <c r="BHO14" s="88"/>
      <c r="BHP14" s="224" t="s">
        <v>23</v>
      </c>
      <c r="BHQ14" s="224"/>
      <c r="BHR14" s="224"/>
      <c r="BHS14" s="224"/>
      <c r="BHT14" s="112"/>
      <c r="BHU14" s="112"/>
      <c r="BHV14" s="223" t="s">
        <v>35</v>
      </c>
      <c r="BHW14" s="223"/>
      <c r="BHX14" s="223"/>
      <c r="BHY14" s="223"/>
      <c r="BHZ14" s="88"/>
      <c r="BIA14" s="88"/>
      <c r="BIB14" s="224" t="s">
        <v>24</v>
      </c>
      <c r="BIC14" s="224"/>
      <c r="BID14" s="224"/>
      <c r="BIE14" s="224"/>
      <c r="BIF14" s="112"/>
      <c r="BIG14" s="112"/>
      <c r="BIH14" s="223" t="s">
        <v>36</v>
      </c>
      <c r="BII14" s="223"/>
      <c r="BIJ14" s="223"/>
      <c r="BIK14" s="223"/>
      <c r="BIL14" s="88"/>
      <c r="BIM14" s="88"/>
      <c r="BIN14" s="224" t="s">
        <v>25</v>
      </c>
      <c r="BIO14" s="224"/>
      <c r="BIP14" s="224"/>
      <c r="BIQ14" s="224"/>
      <c r="BIR14" s="112"/>
      <c r="BIS14" s="112"/>
      <c r="BIT14" s="223" t="s">
        <v>37</v>
      </c>
      <c r="BIU14" s="223"/>
      <c r="BIV14" s="223"/>
      <c r="BIW14" s="223"/>
      <c r="BIX14" s="88"/>
      <c r="BIY14" s="88"/>
      <c r="BIZ14" s="224" t="s">
        <v>26</v>
      </c>
      <c r="BJA14" s="224"/>
      <c r="BJB14" s="224"/>
      <c r="BJC14" s="224"/>
      <c r="BJD14" s="112"/>
      <c r="BJE14" s="112"/>
      <c r="BJF14" s="223" t="s">
        <v>38</v>
      </c>
      <c r="BJG14" s="223"/>
      <c r="BJH14" s="223"/>
      <c r="BJI14" s="223"/>
      <c r="BJJ14" s="88"/>
      <c r="BJK14" s="88"/>
      <c r="BJL14" s="88"/>
      <c r="BJM14" s="89"/>
      <c r="BJN14" s="87"/>
      <c r="BJO14" s="88"/>
      <c r="BJP14" s="88"/>
      <c r="BJQ14" s="88"/>
      <c r="BJR14" s="223" t="s">
        <v>34</v>
      </c>
      <c r="BJS14" s="223"/>
      <c r="BJT14" s="223"/>
      <c r="BJU14" s="223"/>
      <c r="BJV14" s="88"/>
      <c r="BJW14" s="88"/>
      <c r="BJX14" s="224" t="s">
        <v>23</v>
      </c>
      <c r="BJY14" s="224"/>
      <c r="BJZ14" s="224"/>
      <c r="BKA14" s="224"/>
      <c r="BKB14" s="112"/>
      <c r="BKC14" s="112"/>
      <c r="BKD14" s="223" t="s">
        <v>35</v>
      </c>
      <c r="BKE14" s="223"/>
      <c r="BKF14" s="223"/>
      <c r="BKG14" s="223"/>
      <c r="BKH14" s="88"/>
      <c r="BKI14" s="88"/>
      <c r="BKJ14" s="224" t="s">
        <v>24</v>
      </c>
      <c r="BKK14" s="224"/>
      <c r="BKL14" s="224"/>
      <c r="BKM14" s="224"/>
      <c r="BKN14" s="112"/>
      <c r="BKO14" s="112"/>
      <c r="BKP14" s="223" t="s">
        <v>36</v>
      </c>
      <c r="BKQ14" s="223"/>
      <c r="BKR14" s="223"/>
      <c r="BKS14" s="223"/>
      <c r="BKT14" s="88"/>
      <c r="BKU14" s="88"/>
      <c r="BKV14" s="224" t="s">
        <v>25</v>
      </c>
      <c r="BKW14" s="224"/>
      <c r="BKX14" s="224"/>
      <c r="BKY14" s="224"/>
      <c r="BKZ14" s="112"/>
      <c r="BLA14" s="112"/>
      <c r="BLB14" s="223" t="s">
        <v>37</v>
      </c>
      <c r="BLC14" s="223"/>
      <c r="BLD14" s="223"/>
      <c r="BLE14" s="223"/>
      <c r="BLF14" s="88"/>
      <c r="BLG14" s="88"/>
      <c r="BLH14" s="224" t="s">
        <v>26</v>
      </c>
      <c r="BLI14" s="224"/>
      <c r="BLJ14" s="224"/>
      <c r="BLK14" s="224"/>
      <c r="BLL14" s="112"/>
      <c r="BLM14" s="112"/>
      <c r="BLN14" s="223" t="s">
        <v>38</v>
      </c>
      <c r="BLO14" s="223"/>
      <c r="BLP14" s="223"/>
      <c r="BLQ14" s="223"/>
      <c r="BLR14" s="88"/>
      <c r="BLS14" s="88"/>
      <c r="BLT14" s="88"/>
      <c r="BLU14" s="89"/>
      <c r="BLV14" s="87"/>
      <c r="BLW14" s="88"/>
      <c r="BLX14" s="88"/>
      <c r="BLY14" s="88"/>
      <c r="BLZ14" s="223" t="s">
        <v>34</v>
      </c>
      <c r="BMA14" s="223"/>
      <c r="BMB14" s="223"/>
      <c r="BMC14" s="223"/>
      <c r="BMD14" s="88"/>
      <c r="BME14" s="88"/>
      <c r="BMF14" s="224" t="s">
        <v>23</v>
      </c>
      <c r="BMG14" s="224"/>
      <c r="BMH14" s="224"/>
      <c r="BMI14" s="224"/>
      <c r="BMJ14" s="112"/>
      <c r="BMK14" s="112"/>
      <c r="BML14" s="223" t="s">
        <v>35</v>
      </c>
      <c r="BMM14" s="223"/>
      <c r="BMN14" s="223"/>
      <c r="BMO14" s="223"/>
      <c r="BMP14" s="88"/>
      <c r="BMQ14" s="88"/>
      <c r="BMR14" s="224" t="s">
        <v>24</v>
      </c>
      <c r="BMS14" s="224"/>
      <c r="BMT14" s="224"/>
      <c r="BMU14" s="224"/>
      <c r="BMV14" s="112"/>
      <c r="BMW14" s="112"/>
      <c r="BMX14" s="223" t="s">
        <v>36</v>
      </c>
      <c r="BMY14" s="223"/>
      <c r="BMZ14" s="223"/>
      <c r="BNA14" s="223"/>
      <c r="BNB14" s="88"/>
      <c r="BNC14" s="88"/>
      <c r="BND14" s="224" t="s">
        <v>25</v>
      </c>
      <c r="BNE14" s="224"/>
      <c r="BNF14" s="224"/>
      <c r="BNG14" s="224"/>
      <c r="BNH14" s="112"/>
      <c r="BNI14" s="112"/>
      <c r="BNJ14" s="223" t="s">
        <v>37</v>
      </c>
      <c r="BNK14" s="223"/>
      <c r="BNL14" s="223"/>
      <c r="BNM14" s="223"/>
      <c r="BNN14" s="88"/>
      <c r="BNO14" s="88"/>
      <c r="BNP14" s="224" t="s">
        <v>26</v>
      </c>
      <c r="BNQ14" s="224"/>
      <c r="BNR14" s="224"/>
      <c r="BNS14" s="224"/>
      <c r="BNT14" s="112"/>
      <c r="BNU14" s="112"/>
      <c r="BNV14" s="223" t="s">
        <v>38</v>
      </c>
      <c r="BNW14" s="223"/>
      <c r="BNX14" s="223"/>
      <c r="BNY14" s="223"/>
      <c r="BNZ14" s="88"/>
      <c r="BOA14" s="88"/>
      <c r="BOB14" s="88"/>
      <c r="BOC14" s="89"/>
      <c r="BOD14" s="87"/>
      <c r="BOE14" s="88"/>
      <c r="BOF14" s="88"/>
      <c r="BOG14" s="88"/>
      <c r="BOH14" s="223" t="s">
        <v>34</v>
      </c>
      <c r="BOI14" s="223"/>
      <c r="BOJ14" s="223"/>
      <c r="BOK14" s="223"/>
      <c r="BOL14" s="88"/>
      <c r="BOM14" s="88"/>
      <c r="BON14" s="224" t="s">
        <v>23</v>
      </c>
      <c r="BOO14" s="224"/>
      <c r="BOP14" s="224"/>
      <c r="BOQ14" s="224"/>
      <c r="BOR14" s="112"/>
      <c r="BOS14" s="112"/>
      <c r="BOT14" s="223" t="s">
        <v>35</v>
      </c>
      <c r="BOU14" s="223"/>
      <c r="BOV14" s="223"/>
      <c r="BOW14" s="223"/>
      <c r="BOX14" s="88"/>
      <c r="BOY14" s="88"/>
      <c r="BOZ14" s="224" t="s">
        <v>24</v>
      </c>
      <c r="BPA14" s="224"/>
      <c r="BPB14" s="224"/>
      <c r="BPC14" s="224"/>
      <c r="BPD14" s="112"/>
      <c r="BPE14" s="112"/>
      <c r="BPF14" s="223" t="s">
        <v>36</v>
      </c>
      <c r="BPG14" s="223"/>
      <c r="BPH14" s="223"/>
      <c r="BPI14" s="223"/>
      <c r="BPJ14" s="88"/>
      <c r="BPK14" s="88"/>
      <c r="BPL14" s="224" t="s">
        <v>25</v>
      </c>
      <c r="BPM14" s="224"/>
      <c r="BPN14" s="224"/>
      <c r="BPO14" s="224"/>
      <c r="BPP14" s="112"/>
      <c r="BPQ14" s="112"/>
      <c r="BPR14" s="223" t="s">
        <v>37</v>
      </c>
      <c r="BPS14" s="223"/>
      <c r="BPT14" s="223"/>
      <c r="BPU14" s="223"/>
      <c r="BPV14" s="88"/>
      <c r="BPW14" s="88"/>
      <c r="BPX14" s="224" t="s">
        <v>26</v>
      </c>
      <c r="BPY14" s="224"/>
      <c r="BPZ14" s="224"/>
      <c r="BQA14" s="224"/>
      <c r="BQB14" s="112"/>
      <c r="BQC14" s="112"/>
      <c r="BQD14" s="223" t="s">
        <v>38</v>
      </c>
      <c r="BQE14" s="223"/>
      <c r="BQF14" s="223"/>
      <c r="BQG14" s="223"/>
      <c r="BQH14" s="88"/>
      <c r="BQI14" s="88"/>
      <c r="BQJ14" s="88"/>
      <c r="BQK14" s="89"/>
    </row>
    <row r="15" spans="1:180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28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  <c r="BLV15" s="149"/>
      <c r="BLW15" s="150"/>
      <c r="BLX15" s="150"/>
      <c r="BLY15" s="150"/>
      <c r="BLZ15" s="150"/>
      <c r="BMA15" s="151"/>
      <c r="BMB15" s="150"/>
      <c r="BMC15" s="150"/>
      <c r="BMD15" s="150"/>
      <c r="BME15" s="150"/>
      <c r="BMF15" s="150"/>
      <c r="BMG15" s="152"/>
      <c r="BMH15" s="150"/>
      <c r="BMI15" s="150"/>
      <c r="BMJ15" s="150"/>
      <c r="BMK15" s="150"/>
      <c r="BML15" s="150"/>
      <c r="BMM15" s="153"/>
      <c r="BMN15" s="150"/>
      <c r="BMO15" s="150"/>
      <c r="BMP15" s="150"/>
      <c r="BMQ15" s="150"/>
      <c r="BMR15" s="150"/>
      <c r="BMS15" s="152"/>
      <c r="BMT15" s="150"/>
      <c r="BMU15" s="150"/>
      <c r="BMV15" s="150"/>
      <c r="BMW15" s="150"/>
      <c r="BMX15" s="150"/>
      <c r="BMY15" s="153"/>
      <c r="BMZ15" s="150"/>
      <c r="BNA15" s="150"/>
      <c r="BNB15" s="150"/>
      <c r="BNC15" s="150"/>
      <c r="BND15" s="150"/>
      <c r="BNE15" s="152"/>
      <c r="BNF15" s="150"/>
      <c r="BNG15" s="150"/>
      <c r="BNH15" s="150"/>
      <c r="BNI15" s="150"/>
      <c r="BNJ15" s="150"/>
      <c r="BNK15" s="153"/>
      <c r="BNL15" s="150"/>
      <c r="BNM15" s="150"/>
      <c r="BNN15" s="150"/>
      <c r="BNO15" s="150"/>
      <c r="BNP15" s="150"/>
      <c r="BNQ15" s="152"/>
      <c r="BNR15" s="150"/>
      <c r="BNS15" s="150"/>
      <c r="BNT15" s="150"/>
      <c r="BNU15" s="150"/>
      <c r="BNV15" s="150"/>
      <c r="BNW15" s="153"/>
      <c r="BNX15" s="150"/>
      <c r="BNY15" s="150"/>
      <c r="BNZ15" s="150"/>
      <c r="BOA15" s="150"/>
      <c r="BOB15" s="150"/>
      <c r="BOC15" s="154"/>
      <c r="BOD15" s="149"/>
      <c r="BOE15" s="150"/>
      <c r="BOF15" s="150"/>
      <c r="BOG15" s="150"/>
      <c r="BOH15" s="150"/>
      <c r="BOI15" s="151"/>
      <c r="BOJ15" s="150"/>
      <c r="BOK15" s="150"/>
      <c r="BOL15" s="150"/>
      <c r="BOM15" s="150"/>
      <c r="BON15" s="150"/>
      <c r="BOO15" s="152"/>
      <c r="BOP15" s="150"/>
      <c r="BOQ15" s="150"/>
      <c r="BOR15" s="150"/>
      <c r="BOS15" s="150"/>
      <c r="BOT15" s="150"/>
      <c r="BOU15" s="153"/>
      <c r="BOV15" s="150"/>
      <c r="BOW15" s="150"/>
      <c r="BOX15" s="150"/>
      <c r="BOY15" s="150"/>
      <c r="BOZ15" s="150"/>
      <c r="BPA15" s="152"/>
      <c r="BPB15" s="150"/>
      <c r="BPC15" s="150"/>
      <c r="BPD15" s="150"/>
      <c r="BPE15" s="150"/>
      <c r="BPF15" s="150"/>
      <c r="BPG15" s="153"/>
      <c r="BPH15" s="150"/>
      <c r="BPI15" s="150"/>
      <c r="BPJ15" s="150"/>
      <c r="BPK15" s="150"/>
      <c r="BPL15" s="150"/>
      <c r="BPM15" s="152"/>
      <c r="BPN15" s="150"/>
      <c r="BPO15" s="150"/>
      <c r="BPP15" s="150"/>
      <c r="BPQ15" s="150"/>
      <c r="BPR15" s="150"/>
      <c r="BPS15" s="153"/>
      <c r="BPT15" s="150"/>
      <c r="BPU15" s="150"/>
      <c r="BPV15" s="150"/>
      <c r="BPW15" s="150"/>
      <c r="BPX15" s="150"/>
      <c r="BPY15" s="152"/>
      <c r="BPZ15" s="150"/>
      <c r="BQA15" s="150"/>
      <c r="BQB15" s="150"/>
      <c r="BQC15" s="150"/>
      <c r="BQD15" s="150"/>
      <c r="BQE15" s="153"/>
      <c r="BQF15" s="150"/>
      <c r="BQG15" s="150"/>
      <c r="BQH15" s="150"/>
      <c r="BQI15" s="150"/>
      <c r="BQJ15" s="150"/>
      <c r="BQK15" s="154"/>
    </row>
    <row r="16" spans="1:1805" ht="20.100000000000001" customHeight="1" x14ac:dyDescent="0.25">
      <c r="A16" s="84" t="s">
        <v>20</v>
      </c>
      <c r="B16" s="53" t="str">
        <f>IF(LEN(C17)=0,"",C17)</f>
        <v>Analyse - Planification initiale</v>
      </c>
      <c r="C16" s="238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  <c r="BLV16" s="175"/>
      <c r="BLW16" s="176"/>
      <c r="BLX16" s="176"/>
      <c r="BLY16" s="176"/>
      <c r="BLZ16" s="176"/>
      <c r="BMA16" s="177"/>
      <c r="BMB16" s="176"/>
      <c r="BMC16" s="176"/>
      <c r="BMD16" s="176"/>
      <c r="BME16" s="176"/>
      <c r="BMF16" s="176"/>
      <c r="BMG16" s="178"/>
      <c r="BMH16" s="176"/>
      <c r="BMI16" s="176"/>
      <c r="BMJ16" s="176"/>
      <c r="BMK16" s="176"/>
      <c r="BML16" s="176"/>
      <c r="BMM16" s="179"/>
      <c r="BMN16" s="176"/>
      <c r="BMO16" s="176"/>
      <c r="BMP16" s="176"/>
      <c r="BMQ16" s="176"/>
      <c r="BMR16" s="176"/>
      <c r="BMS16" s="178"/>
      <c r="BMT16" s="176"/>
      <c r="BMU16" s="176"/>
      <c r="BMV16" s="176"/>
      <c r="BMW16" s="176"/>
      <c r="BMX16" s="176"/>
      <c r="BMY16" s="179"/>
      <c r="BMZ16" s="176"/>
      <c r="BNA16" s="176"/>
      <c r="BNB16" s="176"/>
      <c r="BNC16" s="176"/>
      <c r="BND16" s="176"/>
      <c r="BNE16" s="178"/>
      <c r="BNF16" s="176"/>
      <c r="BNG16" s="176"/>
      <c r="BNH16" s="176"/>
      <c r="BNI16" s="176"/>
      <c r="BNJ16" s="176"/>
      <c r="BNK16" s="179"/>
      <c r="BNL16" s="176"/>
      <c r="BNM16" s="176"/>
      <c r="BNN16" s="176"/>
      <c r="BNO16" s="176"/>
      <c r="BNP16" s="176"/>
      <c r="BNQ16" s="178"/>
      <c r="BNR16" s="176"/>
      <c r="BNS16" s="176"/>
      <c r="BNT16" s="176"/>
      <c r="BNU16" s="176"/>
      <c r="BNV16" s="176"/>
      <c r="BNW16" s="179"/>
      <c r="BNX16" s="176"/>
      <c r="BNY16" s="176"/>
      <c r="BNZ16" s="176"/>
      <c r="BOA16" s="176"/>
      <c r="BOB16" s="176"/>
      <c r="BOC16" s="180"/>
      <c r="BOD16" s="175"/>
      <c r="BOE16" s="176"/>
      <c r="BOF16" s="176"/>
      <c r="BOG16" s="176"/>
      <c r="BOH16" s="176"/>
      <c r="BOI16" s="177"/>
      <c r="BOJ16" s="176"/>
      <c r="BOK16" s="176"/>
      <c r="BOL16" s="176"/>
      <c r="BOM16" s="176"/>
      <c r="BON16" s="176"/>
      <c r="BOO16" s="178"/>
      <c r="BOP16" s="176"/>
      <c r="BOQ16" s="176"/>
      <c r="BOR16" s="176"/>
      <c r="BOS16" s="176"/>
      <c r="BOT16" s="176"/>
      <c r="BOU16" s="179"/>
      <c r="BOV16" s="176"/>
      <c r="BOW16" s="176"/>
      <c r="BOX16" s="176"/>
      <c r="BOY16" s="176"/>
      <c r="BOZ16" s="176"/>
      <c r="BPA16" s="178"/>
      <c r="BPB16" s="176"/>
      <c r="BPC16" s="176"/>
      <c r="BPD16" s="176"/>
      <c r="BPE16" s="176"/>
      <c r="BPF16" s="176"/>
      <c r="BPG16" s="179"/>
      <c r="BPH16" s="176"/>
      <c r="BPI16" s="176"/>
      <c r="BPJ16" s="176"/>
      <c r="BPK16" s="176"/>
      <c r="BPL16" s="176"/>
      <c r="BPM16" s="178"/>
      <c r="BPN16" s="176"/>
      <c r="BPO16" s="176"/>
      <c r="BPP16" s="176"/>
      <c r="BPQ16" s="176"/>
      <c r="BPR16" s="176"/>
      <c r="BPS16" s="179"/>
      <c r="BPT16" s="176"/>
      <c r="BPU16" s="176"/>
      <c r="BPV16" s="176"/>
      <c r="BPW16" s="176"/>
      <c r="BPX16" s="176"/>
      <c r="BPY16" s="178"/>
      <c r="BPZ16" s="176"/>
      <c r="BQA16" s="176"/>
      <c r="BQB16" s="176"/>
      <c r="BQC16" s="176"/>
      <c r="BQD16" s="176"/>
      <c r="BQE16" s="179"/>
      <c r="BQF16" s="176"/>
      <c r="BQG16" s="176"/>
      <c r="BQH16" s="176"/>
      <c r="BQI16" s="176"/>
      <c r="BQJ16" s="176"/>
      <c r="BQK16" s="180"/>
    </row>
    <row r="17" spans="1:1805" ht="20.100000000000001" customHeight="1" x14ac:dyDescent="0.25">
      <c r="A17" s="84" t="s">
        <v>19</v>
      </c>
      <c r="B17" s="53" t="str">
        <f>IF(LEN(C19)=0,"",C19)</f>
        <v>Analyse - Choix des technologies</v>
      </c>
      <c r="C17" s="228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  <c r="BLV17" s="155"/>
      <c r="BLW17" s="156"/>
      <c r="BLX17" s="156"/>
      <c r="BLY17" s="156"/>
      <c r="BLZ17" s="156"/>
      <c r="BMA17" s="157"/>
      <c r="BMB17" s="156"/>
      <c r="BMC17" s="156"/>
      <c r="BMD17" s="156"/>
      <c r="BME17" s="156"/>
      <c r="BMF17" s="156"/>
      <c r="BMG17" s="158"/>
      <c r="BMH17" s="156"/>
      <c r="BMI17" s="156"/>
      <c r="BMJ17" s="156"/>
      <c r="BMK17" s="156"/>
      <c r="BML17" s="156"/>
      <c r="BMM17" s="159"/>
      <c r="BMN17" s="156"/>
      <c r="BMO17" s="156"/>
      <c r="BMP17" s="156"/>
      <c r="BMQ17" s="156"/>
      <c r="BMR17" s="156"/>
      <c r="BMS17" s="158"/>
      <c r="BMT17" s="156"/>
      <c r="BMU17" s="156"/>
      <c r="BMV17" s="156"/>
      <c r="BMW17" s="156"/>
      <c r="BMX17" s="156"/>
      <c r="BMY17" s="159"/>
      <c r="BMZ17" s="156"/>
      <c r="BNA17" s="156"/>
      <c r="BNB17" s="156"/>
      <c r="BNC17" s="156"/>
      <c r="BND17" s="156"/>
      <c r="BNE17" s="158"/>
      <c r="BNF17" s="156"/>
      <c r="BNG17" s="156"/>
      <c r="BNH17" s="156"/>
      <c r="BNI17" s="156"/>
      <c r="BNJ17" s="156"/>
      <c r="BNK17" s="159"/>
      <c r="BNL17" s="156"/>
      <c r="BNM17" s="156"/>
      <c r="BNN17" s="156"/>
      <c r="BNO17" s="156"/>
      <c r="BNP17" s="156"/>
      <c r="BNQ17" s="158"/>
      <c r="BNR17" s="156"/>
      <c r="BNS17" s="156"/>
      <c r="BNT17" s="156"/>
      <c r="BNU17" s="156"/>
      <c r="BNV17" s="156"/>
      <c r="BNW17" s="159"/>
      <c r="BNX17" s="156"/>
      <c r="BNY17" s="156"/>
      <c r="BNZ17" s="156"/>
      <c r="BOA17" s="156"/>
      <c r="BOB17" s="156"/>
      <c r="BOC17" s="160"/>
      <c r="BOD17" s="155"/>
      <c r="BOE17" s="156"/>
      <c r="BOF17" s="156"/>
      <c r="BOG17" s="156"/>
      <c r="BOH17" s="156"/>
      <c r="BOI17" s="157"/>
      <c r="BOJ17" s="156"/>
      <c r="BOK17" s="156"/>
      <c r="BOL17" s="156"/>
      <c r="BOM17" s="156"/>
      <c r="BON17" s="156"/>
      <c r="BOO17" s="158"/>
      <c r="BOP17" s="156"/>
      <c r="BOQ17" s="156"/>
      <c r="BOR17" s="156"/>
      <c r="BOS17" s="156"/>
      <c r="BOT17" s="156"/>
      <c r="BOU17" s="159"/>
      <c r="BOV17" s="156"/>
      <c r="BOW17" s="156"/>
      <c r="BOX17" s="156"/>
      <c r="BOY17" s="156"/>
      <c r="BOZ17" s="156"/>
      <c r="BPA17" s="158"/>
      <c r="BPB17" s="156"/>
      <c r="BPC17" s="156"/>
      <c r="BPD17" s="156"/>
      <c r="BPE17" s="156"/>
      <c r="BPF17" s="156"/>
      <c r="BPG17" s="159"/>
      <c r="BPH17" s="156"/>
      <c r="BPI17" s="156"/>
      <c r="BPJ17" s="156"/>
      <c r="BPK17" s="156"/>
      <c r="BPL17" s="156"/>
      <c r="BPM17" s="158"/>
      <c r="BPN17" s="156"/>
      <c r="BPO17" s="156"/>
      <c r="BPP17" s="156"/>
      <c r="BPQ17" s="156"/>
      <c r="BPR17" s="156"/>
      <c r="BPS17" s="159"/>
      <c r="BPT17" s="156"/>
      <c r="BPU17" s="156"/>
      <c r="BPV17" s="156"/>
      <c r="BPW17" s="156"/>
      <c r="BPX17" s="156"/>
      <c r="BPY17" s="158"/>
      <c r="BPZ17" s="156"/>
      <c r="BQA17" s="156"/>
      <c r="BQB17" s="156"/>
      <c r="BQC17" s="156"/>
      <c r="BQD17" s="156"/>
      <c r="BQE17" s="159"/>
      <c r="BQF17" s="156"/>
      <c r="BQG17" s="156"/>
      <c r="BQH17" s="156"/>
      <c r="BQI17" s="156"/>
      <c r="BQJ17" s="156"/>
      <c r="BQK17" s="160"/>
    </row>
    <row r="18" spans="1:1805" ht="20.100000000000001" customHeight="1" x14ac:dyDescent="0.3">
      <c r="A18" s="84" t="s">
        <v>20</v>
      </c>
      <c r="B18" s="53" t="str">
        <f>IF(LEN(C21)=0,"",C21)</f>
        <v>Analyse - Discussion avec la CdP</v>
      </c>
      <c r="C18" s="238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  <c r="BLV18" s="181"/>
      <c r="BLW18" s="182"/>
      <c r="BLX18" s="182"/>
      <c r="BLY18" s="182"/>
      <c r="BLZ18" s="182"/>
      <c r="BMA18" s="183"/>
      <c r="BMB18" s="182"/>
      <c r="BMC18" s="182"/>
      <c r="BMD18" s="182"/>
      <c r="BME18" s="182"/>
      <c r="BMF18" s="182"/>
      <c r="BMG18" s="184"/>
      <c r="BMH18" s="182"/>
      <c r="BMI18" s="182"/>
      <c r="BMJ18" s="182"/>
      <c r="BMK18" s="182"/>
      <c r="BML18" s="182"/>
      <c r="BMM18" s="185"/>
      <c r="BMN18" s="182"/>
      <c r="BMO18" s="182"/>
      <c r="BMP18" s="182"/>
      <c r="BMQ18" s="182"/>
      <c r="BMR18" s="182"/>
      <c r="BMS18" s="184"/>
      <c r="BMT18" s="182"/>
      <c r="BMU18" s="182"/>
      <c r="BMV18" s="182"/>
      <c r="BMW18" s="182"/>
      <c r="BMX18" s="182"/>
      <c r="BMY18" s="185"/>
      <c r="BMZ18" s="182"/>
      <c r="BNA18" s="182"/>
      <c r="BNB18" s="182"/>
      <c r="BNC18" s="182"/>
      <c r="BND18" s="182"/>
      <c r="BNE18" s="184"/>
      <c r="BNF18" s="182"/>
      <c r="BNG18" s="182"/>
      <c r="BNH18" s="182"/>
      <c r="BNI18" s="182"/>
      <c r="BNJ18" s="182"/>
      <c r="BNK18" s="185"/>
      <c r="BNL18" s="182"/>
      <c r="BNM18" s="182"/>
      <c r="BNN18" s="182"/>
      <c r="BNO18" s="182"/>
      <c r="BNP18" s="182"/>
      <c r="BNQ18" s="184"/>
      <c r="BNR18" s="182"/>
      <c r="BNS18" s="182"/>
      <c r="BNT18" s="182"/>
      <c r="BNU18" s="182"/>
      <c r="BNV18" s="182"/>
      <c r="BNW18" s="185"/>
      <c r="BNX18" s="182"/>
      <c r="BNY18" s="182"/>
      <c r="BNZ18" s="182"/>
      <c r="BOA18" s="182"/>
      <c r="BOB18" s="182"/>
      <c r="BOC18" s="186"/>
      <c r="BOD18" s="181"/>
      <c r="BOE18" s="182"/>
      <c r="BOF18" s="182"/>
      <c r="BOG18" s="182"/>
      <c r="BOH18" s="182"/>
      <c r="BOI18" s="183"/>
      <c r="BOJ18" s="182"/>
      <c r="BOK18" s="182"/>
      <c r="BOL18" s="182"/>
      <c r="BOM18" s="182"/>
      <c r="BON18" s="182"/>
      <c r="BOO18" s="184"/>
      <c r="BOP18" s="182"/>
      <c r="BOQ18" s="182"/>
      <c r="BOR18" s="182"/>
      <c r="BOS18" s="182"/>
      <c r="BOT18" s="182"/>
      <c r="BOU18" s="185"/>
      <c r="BOV18" s="182"/>
      <c r="BOW18" s="182"/>
      <c r="BOX18" s="182"/>
      <c r="BOY18" s="182"/>
      <c r="BOZ18" s="182"/>
      <c r="BPA18" s="184"/>
      <c r="BPB18" s="182"/>
      <c r="BPC18" s="182"/>
      <c r="BPD18" s="182"/>
      <c r="BPE18" s="182"/>
      <c r="BPF18" s="182"/>
      <c r="BPG18" s="185"/>
      <c r="BPH18" s="182"/>
      <c r="BPI18" s="182"/>
      <c r="BPJ18" s="182"/>
      <c r="BPK18" s="182"/>
      <c r="BPL18" s="182"/>
      <c r="BPM18" s="184"/>
      <c r="BPN18" s="182"/>
      <c r="BPO18" s="182"/>
      <c r="BPP18" s="182"/>
      <c r="BPQ18" s="182"/>
      <c r="BPR18" s="182"/>
      <c r="BPS18" s="185"/>
      <c r="BPT18" s="182"/>
      <c r="BPU18" s="182"/>
      <c r="BPV18" s="182"/>
      <c r="BPW18" s="182"/>
      <c r="BPX18" s="182"/>
      <c r="BPY18" s="184"/>
      <c r="BPZ18" s="182"/>
      <c r="BQA18" s="182"/>
      <c r="BQB18" s="182"/>
      <c r="BQC18" s="182"/>
      <c r="BQD18" s="182"/>
      <c r="BQE18" s="185"/>
      <c r="BQF18" s="182"/>
      <c r="BQG18" s="182"/>
      <c r="BQH18" s="182"/>
      <c r="BQI18" s="182"/>
      <c r="BQJ18" s="182"/>
      <c r="BQK18" s="186"/>
    </row>
    <row r="19" spans="1:180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28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  <c r="BLV19" s="161"/>
      <c r="BLW19" s="162"/>
      <c r="BLX19" s="162"/>
      <c r="BLY19" s="162"/>
      <c r="BLZ19" s="162"/>
      <c r="BMA19" s="163"/>
      <c r="BMB19" s="162"/>
      <c r="BMC19" s="162"/>
      <c r="BMD19" s="162"/>
      <c r="BME19" s="162"/>
      <c r="BMF19" s="162"/>
      <c r="BMG19" s="164"/>
      <c r="BMH19" s="162"/>
      <c r="BMI19" s="162"/>
      <c r="BMJ19" s="162"/>
      <c r="BMK19" s="162"/>
      <c r="BML19" s="162"/>
      <c r="BMM19" s="165"/>
      <c r="BMN19" s="162"/>
      <c r="BMO19" s="162"/>
      <c r="BMP19" s="162"/>
      <c r="BMQ19" s="162"/>
      <c r="BMR19" s="162"/>
      <c r="BMS19" s="164"/>
      <c r="BMT19" s="162"/>
      <c r="BMU19" s="162"/>
      <c r="BMV19" s="162"/>
      <c r="BMW19" s="162"/>
      <c r="BMX19" s="162"/>
      <c r="BMY19" s="165"/>
      <c r="BMZ19" s="162"/>
      <c r="BNA19" s="162"/>
      <c r="BNB19" s="162"/>
      <c r="BNC19" s="162"/>
      <c r="BND19" s="162"/>
      <c r="BNE19" s="164"/>
      <c r="BNF19" s="162"/>
      <c r="BNG19" s="162"/>
      <c r="BNH19" s="162"/>
      <c r="BNI19" s="162"/>
      <c r="BNJ19" s="162"/>
      <c r="BNK19" s="165"/>
      <c r="BNL19" s="162"/>
      <c r="BNM19" s="162"/>
      <c r="BNN19" s="162"/>
      <c r="BNO19" s="162"/>
      <c r="BNP19" s="162"/>
      <c r="BNQ19" s="164"/>
      <c r="BNR19" s="162"/>
      <c r="BNS19" s="162"/>
      <c r="BNT19" s="162"/>
      <c r="BNU19" s="162"/>
      <c r="BNV19" s="162"/>
      <c r="BNW19" s="165"/>
      <c r="BNX19" s="162"/>
      <c r="BNY19" s="162"/>
      <c r="BNZ19" s="162"/>
      <c r="BOA19" s="162"/>
      <c r="BOB19" s="162"/>
      <c r="BOC19" s="166"/>
      <c r="BOD19" s="161"/>
      <c r="BOE19" s="162"/>
      <c r="BOF19" s="162"/>
      <c r="BOG19" s="162"/>
      <c r="BOH19" s="162"/>
      <c r="BOI19" s="163"/>
      <c r="BOJ19" s="162"/>
      <c r="BOK19" s="162"/>
      <c r="BOL19" s="162"/>
      <c r="BOM19" s="162"/>
      <c r="BON19" s="162"/>
      <c r="BOO19" s="164"/>
      <c r="BOP19" s="162"/>
      <c r="BOQ19" s="162"/>
      <c r="BOR19" s="162"/>
      <c r="BOS19" s="162"/>
      <c r="BOT19" s="162"/>
      <c r="BOU19" s="165"/>
      <c r="BOV19" s="162"/>
      <c r="BOW19" s="162"/>
      <c r="BOX19" s="162"/>
      <c r="BOY19" s="162"/>
      <c r="BOZ19" s="162"/>
      <c r="BPA19" s="164"/>
      <c r="BPB19" s="162"/>
      <c r="BPC19" s="162"/>
      <c r="BPD19" s="162"/>
      <c r="BPE19" s="162"/>
      <c r="BPF19" s="162"/>
      <c r="BPG19" s="165"/>
      <c r="BPH19" s="162"/>
      <c r="BPI19" s="162"/>
      <c r="BPJ19" s="162"/>
      <c r="BPK19" s="162"/>
      <c r="BPL19" s="162"/>
      <c r="BPM19" s="164"/>
      <c r="BPN19" s="162"/>
      <c r="BPO19" s="162"/>
      <c r="BPP19" s="162"/>
      <c r="BPQ19" s="162"/>
      <c r="BPR19" s="162"/>
      <c r="BPS19" s="165"/>
      <c r="BPT19" s="162"/>
      <c r="BPU19" s="162"/>
      <c r="BPV19" s="162"/>
      <c r="BPW19" s="162"/>
      <c r="BPX19" s="162"/>
      <c r="BPY19" s="164"/>
      <c r="BPZ19" s="162"/>
      <c r="BQA19" s="162"/>
      <c r="BQB19" s="162"/>
      <c r="BQC19" s="162"/>
      <c r="BQD19" s="162"/>
      <c r="BQE19" s="165"/>
      <c r="BQF19" s="162"/>
      <c r="BQG19" s="162"/>
      <c r="BQH19" s="162"/>
      <c r="BQI19" s="162"/>
      <c r="BQJ19" s="162"/>
      <c r="BQK19" s="166"/>
    </row>
    <row r="20" spans="1:1805" ht="20.100000000000001" customHeight="1" x14ac:dyDescent="0.25">
      <c r="A20" s="84" t="s">
        <v>20</v>
      </c>
      <c r="B20" s="53" t="str">
        <f>IF(LEN(C25)=0,"",C25)</f>
        <v>Analyse - Maquettes Jeu</v>
      </c>
      <c r="C20" s="229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  <c r="BLV20" s="175"/>
      <c r="BLW20" s="176"/>
      <c r="BLX20" s="176"/>
      <c r="BLY20" s="176"/>
      <c r="BLZ20" s="176"/>
      <c r="BMA20" s="177"/>
      <c r="BMB20" s="176"/>
      <c r="BMC20" s="176"/>
      <c r="BMD20" s="176"/>
      <c r="BME20" s="176"/>
      <c r="BMF20" s="176"/>
      <c r="BMG20" s="178"/>
      <c r="BMH20" s="176"/>
      <c r="BMI20" s="176"/>
      <c r="BMJ20" s="176"/>
      <c r="BMK20" s="176"/>
      <c r="BML20" s="176"/>
      <c r="BMM20" s="185"/>
      <c r="BMN20" s="176"/>
      <c r="BMO20" s="176"/>
      <c r="BMP20" s="176"/>
      <c r="BMQ20" s="176"/>
      <c r="BMR20" s="176"/>
      <c r="BMS20" s="178"/>
      <c r="BMT20" s="176"/>
      <c r="BMU20" s="176"/>
      <c r="BMV20" s="176"/>
      <c r="BMW20" s="176"/>
      <c r="BMX20" s="176"/>
      <c r="BMY20" s="185"/>
      <c r="BMZ20" s="176"/>
      <c r="BNA20" s="176"/>
      <c r="BNB20" s="176"/>
      <c r="BNC20" s="176"/>
      <c r="BND20" s="176"/>
      <c r="BNE20" s="178"/>
      <c r="BNF20" s="176"/>
      <c r="BNG20" s="176"/>
      <c r="BNH20" s="176"/>
      <c r="BNI20" s="176"/>
      <c r="BNJ20" s="182"/>
      <c r="BNK20" s="185"/>
      <c r="BNL20" s="176"/>
      <c r="BNM20" s="176"/>
      <c r="BNN20" s="176"/>
      <c r="BNO20" s="176"/>
      <c r="BNP20" s="176"/>
      <c r="BNQ20" s="178"/>
      <c r="BNR20" s="176"/>
      <c r="BNS20" s="176"/>
      <c r="BNT20" s="176"/>
      <c r="BNU20" s="176"/>
      <c r="BNV20" s="176"/>
      <c r="BNW20" s="185"/>
      <c r="BNX20" s="176"/>
      <c r="BNY20" s="176"/>
      <c r="BNZ20" s="176"/>
      <c r="BOA20" s="176"/>
      <c r="BOB20" s="176"/>
      <c r="BOC20" s="180"/>
      <c r="BOD20" s="175"/>
      <c r="BOE20" s="176"/>
      <c r="BOF20" s="176"/>
      <c r="BOG20" s="176"/>
      <c r="BOH20" s="176"/>
      <c r="BOI20" s="177"/>
      <c r="BOJ20" s="176"/>
      <c r="BOK20" s="176"/>
      <c r="BOL20" s="176"/>
      <c r="BOM20" s="176"/>
      <c r="BON20" s="176"/>
      <c r="BOO20" s="178"/>
      <c r="BOP20" s="176"/>
      <c r="BOQ20" s="176"/>
      <c r="BOR20" s="176"/>
      <c r="BOS20" s="176"/>
      <c r="BOT20" s="176"/>
      <c r="BOU20" s="185"/>
      <c r="BOV20" s="176"/>
      <c r="BOW20" s="176"/>
      <c r="BOX20" s="176"/>
      <c r="BOY20" s="176"/>
      <c r="BOZ20" s="176"/>
      <c r="BPA20" s="178"/>
      <c r="BPB20" s="176"/>
      <c r="BPC20" s="176"/>
      <c r="BPD20" s="176"/>
      <c r="BPE20" s="176"/>
      <c r="BPF20" s="176"/>
      <c r="BPG20" s="185"/>
      <c r="BPH20" s="176"/>
      <c r="BPI20" s="176"/>
      <c r="BPJ20" s="176"/>
      <c r="BPK20" s="176"/>
      <c r="BPL20" s="176"/>
      <c r="BPM20" s="178"/>
      <c r="BPN20" s="176"/>
      <c r="BPO20" s="176"/>
      <c r="BPP20" s="176"/>
      <c r="BPQ20" s="176"/>
      <c r="BPR20" s="182"/>
      <c r="BPS20" s="185"/>
      <c r="BPT20" s="176"/>
      <c r="BPU20" s="176"/>
      <c r="BPV20" s="176"/>
      <c r="BPW20" s="176"/>
      <c r="BPX20" s="176"/>
      <c r="BPY20" s="178"/>
      <c r="BPZ20" s="176"/>
      <c r="BQA20" s="176"/>
      <c r="BQB20" s="176"/>
      <c r="BQC20" s="176"/>
      <c r="BQD20" s="176"/>
      <c r="BQE20" s="185"/>
      <c r="BQF20" s="176"/>
      <c r="BQG20" s="176"/>
      <c r="BQH20" s="176"/>
      <c r="BQI20" s="176"/>
      <c r="BQJ20" s="176"/>
      <c r="BQK20" s="180"/>
    </row>
    <row r="21" spans="1:1805" ht="20.100000000000001" customHeight="1" x14ac:dyDescent="0.25">
      <c r="A21" s="84" t="s">
        <v>19</v>
      </c>
      <c r="B21" s="53" t="str">
        <f>IF(LEN(C27)=0,"",C27)</f>
        <v>Analyse - MCD / MLD</v>
      </c>
      <c r="C21" s="228" t="s">
        <v>167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  <c r="BLV21" s="155"/>
      <c r="BLW21" s="156"/>
      <c r="BLX21" s="156"/>
      <c r="BLY21" s="156"/>
      <c r="BLZ21" s="156"/>
      <c r="BMA21" s="157"/>
      <c r="BMB21" s="156"/>
      <c r="BMC21" s="156"/>
      <c r="BMD21" s="156"/>
      <c r="BME21" s="156"/>
      <c r="BMF21" s="156"/>
      <c r="BMG21" s="158"/>
      <c r="BMH21" s="156"/>
      <c r="BMI21" s="156"/>
      <c r="BMJ21" s="156"/>
      <c r="BMK21" s="156"/>
      <c r="BML21" s="156"/>
      <c r="BMM21" s="159"/>
      <c r="BMN21" s="156"/>
      <c r="BMO21" s="156"/>
      <c r="BMP21" s="156"/>
      <c r="BMQ21" s="156"/>
      <c r="BMR21" s="156"/>
      <c r="BMS21" s="158"/>
      <c r="BMT21" s="156"/>
      <c r="BMU21" s="156"/>
      <c r="BMV21" s="156"/>
      <c r="BMW21" s="156"/>
      <c r="BMX21" s="156"/>
      <c r="BMY21" s="159"/>
      <c r="BMZ21" s="156"/>
      <c r="BNA21" s="156"/>
      <c r="BNB21" s="156"/>
      <c r="BNC21" s="156"/>
      <c r="BND21" s="156"/>
      <c r="BNE21" s="158"/>
      <c r="BNF21" s="156"/>
      <c r="BNG21" s="156"/>
      <c r="BNH21" s="156"/>
      <c r="BNI21" s="156"/>
      <c r="BNJ21" s="156"/>
      <c r="BNK21" s="159"/>
      <c r="BNL21" s="156"/>
      <c r="BNM21" s="156"/>
      <c r="BNN21" s="156"/>
      <c r="BNO21" s="156"/>
      <c r="BNP21" s="156"/>
      <c r="BNQ21" s="158"/>
      <c r="BNR21" s="156"/>
      <c r="BNS21" s="156"/>
      <c r="BNT21" s="156"/>
      <c r="BNU21" s="156"/>
      <c r="BNV21" s="156"/>
      <c r="BNW21" s="159"/>
      <c r="BNX21" s="156"/>
      <c r="BNY21" s="156"/>
      <c r="BNZ21" s="156"/>
      <c r="BOA21" s="156"/>
      <c r="BOB21" s="156"/>
      <c r="BOC21" s="160"/>
      <c r="BOD21" s="155"/>
      <c r="BOE21" s="156"/>
      <c r="BOF21" s="156"/>
      <c r="BOG21" s="156"/>
      <c r="BOH21" s="156"/>
      <c r="BOI21" s="157"/>
      <c r="BOJ21" s="156"/>
      <c r="BOK21" s="156"/>
      <c r="BOL21" s="156"/>
      <c r="BOM21" s="156"/>
      <c r="BON21" s="156"/>
      <c r="BOO21" s="158"/>
      <c r="BOP21" s="156"/>
      <c r="BOQ21" s="156"/>
      <c r="BOR21" s="156"/>
      <c r="BOS21" s="156"/>
      <c r="BOT21" s="156"/>
      <c r="BOU21" s="159"/>
      <c r="BOV21" s="156"/>
      <c r="BOW21" s="156"/>
      <c r="BOX21" s="156"/>
      <c r="BOY21" s="156"/>
      <c r="BOZ21" s="156"/>
      <c r="BPA21" s="158"/>
      <c r="BPB21" s="156"/>
      <c r="BPC21" s="156"/>
      <c r="BPD21" s="156"/>
      <c r="BPE21" s="156"/>
      <c r="BPF21" s="156"/>
      <c r="BPG21" s="159"/>
      <c r="BPH21" s="156"/>
      <c r="BPI21" s="156"/>
      <c r="BPJ21" s="156"/>
      <c r="BPK21" s="156"/>
      <c r="BPL21" s="156"/>
      <c r="BPM21" s="158"/>
      <c r="BPN21" s="156"/>
      <c r="BPO21" s="156"/>
      <c r="BPP21" s="156"/>
      <c r="BPQ21" s="156"/>
      <c r="BPR21" s="156"/>
      <c r="BPS21" s="159"/>
      <c r="BPT21" s="156"/>
      <c r="BPU21" s="156"/>
      <c r="BPV21" s="156"/>
      <c r="BPW21" s="156"/>
      <c r="BPX21" s="156"/>
      <c r="BPY21" s="158"/>
      <c r="BPZ21" s="156"/>
      <c r="BQA21" s="156"/>
      <c r="BQB21" s="156"/>
      <c r="BQC21" s="156"/>
      <c r="BQD21" s="156"/>
      <c r="BQE21" s="159"/>
      <c r="BQF21" s="156"/>
      <c r="BQG21" s="156"/>
      <c r="BQH21" s="156"/>
      <c r="BQI21" s="156"/>
      <c r="BQJ21" s="156"/>
      <c r="BQK21" s="160"/>
    </row>
    <row r="22" spans="1:1805" ht="20.100000000000001" customHeight="1" x14ac:dyDescent="0.25">
      <c r="A22" s="84" t="s">
        <v>20</v>
      </c>
      <c r="B22" s="53" t="str">
        <f>IF(LEN(C29)=0,"",C29)</f>
        <v>Analyse - Schémas UML</v>
      </c>
      <c r="C22" s="229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  <c r="BLV22" s="181"/>
      <c r="BLW22" s="182"/>
      <c r="BLX22" s="182"/>
      <c r="BLY22" s="182"/>
      <c r="BLZ22" s="182"/>
      <c r="BMA22" s="183"/>
      <c r="BMB22" s="182"/>
      <c r="BMC22" s="182"/>
      <c r="BMD22" s="182"/>
      <c r="BME22" s="182"/>
      <c r="BMF22" s="182"/>
      <c r="BMG22" s="184"/>
      <c r="BMH22" s="182"/>
      <c r="BMI22" s="182"/>
      <c r="BMJ22" s="182"/>
      <c r="BMK22" s="182"/>
      <c r="BML22" s="182"/>
      <c r="BMM22" s="185"/>
      <c r="BMN22" s="182"/>
      <c r="BMO22" s="182"/>
      <c r="BMP22" s="182"/>
      <c r="BMQ22" s="182"/>
      <c r="BMR22" s="182"/>
      <c r="BMS22" s="184"/>
      <c r="BMT22" s="182"/>
      <c r="BMU22" s="182"/>
      <c r="BMV22" s="182"/>
      <c r="BMW22" s="182"/>
      <c r="BMX22" s="182"/>
      <c r="BMY22" s="185"/>
      <c r="BMZ22" s="182"/>
      <c r="BNA22" s="182"/>
      <c r="BNB22" s="182"/>
      <c r="BNC22" s="182"/>
      <c r="BND22" s="182"/>
      <c r="BNE22" s="184"/>
      <c r="BNF22" s="182"/>
      <c r="BNG22" s="182"/>
      <c r="BNH22" s="182"/>
      <c r="BNI22" s="182"/>
      <c r="BNJ22" s="182"/>
      <c r="BNK22" s="185"/>
      <c r="BNL22" s="182"/>
      <c r="BNM22" s="182"/>
      <c r="BNN22" s="182"/>
      <c r="BNO22" s="182"/>
      <c r="BNP22" s="182"/>
      <c r="BNQ22" s="184"/>
      <c r="BNR22" s="182"/>
      <c r="BNS22" s="182"/>
      <c r="BNT22" s="182"/>
      <c r="BNU22" s="182"/>
      <c r="BNV22" s="182"/>
      <c r="BNW22" s="185"/>
      <c r="BNX22" s="182"/>
      <c r="BNY22" s="182"/>
      <c r="BNZ22" s="182"/>
      <c r="BOA22" s="182"/>
      <c r="BOB22" s="182"/>
      <c r="BOC22" s="186"/>
      <c r="BOD22" s="181"/>
      <c r="BOE22" s="182"/>
      <c r="BOF22" s="182"/>
      <c r="BOG22" s="182"/>
      <c r="BOH22" s="182"/>
      <c r="BOI22" s="183"/>
      <c r="BOJ22" s="182"/>
      <c r="BOK22" s="182"/>
      <c r="BOL22" s="182"/>
      <c r="BOM22" s="182"/>
      <c r="BON22" s="182"/>
      <c r="BOO22" s="184"/>
      <c r="BOP22" s="182"/>
      <c r="BOQ22" s="182"/>
      <c r="BOR22" s="182"/>
      <c r="BOS22" s="182"/>
      <c r="BOT22" s="182"/>
      <c r="BOU22" s="185"/>
      <c r="BOV22" s="182"/>
      <c r="BOW22" s="182"/>
      <c r="BOX22" s="182"/>
      <c r="BOY22" s="182"/>
      <c r="BOZ22" s="182"/>
      <c r="BPA22" s="184"/>
      <c r="BPB22" s="182"/>
      <c r="BPC22" s="182"/>
      <c r="BPD22" s="182"/>
      <c r="BPE22" s="182"/>
      <c r="BPF22" s="182"/>
      <c r="BPG22" s="185"/>
      <c r="BPH22" s="182"/>
      <c r="BPI22" s="182"/>
      <c r="BPJ22" s="182"/>
      <c r="BPK22" s="182"/>
      <c r="BPL22" s="182"/>
      <c r="BPM22" s="184"/>
      <c r="BPN22" s="182"/>
      <c r="BPO22" s="182"/>
      <c r="BPP22" s="182"/>
      <c r="BPQ22" s="182"/>
      <c r="BPR22" s="182"/>
      <c r="BPS22" s="185"/>
      <c r="BPT22" s="182"/>
      <c r="BPU22" s="182"/>
      <c r="BPV22" s="182"/>
      <c r="BPW22" s="182"/>
      <c r="BPX22" s="182"/>
      <c r="BPY22" s="184"/>
      <c r="BPZ22" s="182"/>
      <c r="BQA22" s="182"/>
      <c r="BQB22" s="182"/>
      <c r="BQC22" s="182"/>
      <c r="BQD22" s="182"/>
      <c r="BQE22" s="185"/>
      <c r="BQF22" s="182"/>
      <c r="BQG22" s="182"/>
      <c r="BQH22" s="182"/>
      <c r="BQI22" s="182"/>
      <c r="BQJ22" s="182"/>
      <c r="BQK22" s="186"/>
    </row>
    <row r="23" spans="1:1805" ht="20.100000000000001" customHeight="1" x14ac:dyDescent="0.25">
      <c r="A23" s="84" t="s">
        <v>19</v>
      </c>
      <c r="B23" s="53" t="str">
        <f>IF(LEN(C31)=0,"",C31)</f>
        <v>Réalisation - Création du Menu</v>
      </c>
      <c r="C23" s="228" t="s">
        <v>94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  <c r="BLV23" s="161"/>
      <c r="BLW23" s="162"/>
      <c r="BLX23" s="162"/>
      <c r="BLY23" s="162"/>
      <c r="BLZ23" s="162"/>
      <c r="BMA23" s="163"/>
      <c r="BMB23" s="162"/>
      <c r="BMC23" s="162"/>
      <c r="BMD23" s="162"/>
      <c r="BME23" s="162"/>
      <c r="BMF23" s="162"/>
      <c r="BMG23" s="164"/>
      <c r="BMH23" s="162"/>
      <c r="BMI23" s="162"/>
      <c r="BMJ23" s="162"/>
      <c r="BMK23" s="162"/>
      <c r="BML23" s="162"/>
      <c r="BMM23" s="165"/>
      <c r="BMN23" s="162"/>
      <c r="BMO23" s="162"/>
      <c r="BMP23" s="162"/>
      <c r="BMQ23" s="162"/>
      <c r="BMR23" s="162"/>
      <c r="BMS23" s="164"/>
      <c r="BMT23" s="162"/>
      <c r="BMU23" s="162"/>
      <c r="BMV23" s="162"/>
      <c r="BMW23" s="162"/>
      <c r="BMX23" s="162"/>
      <c r="BMY23" s="165"/>
      <c r="BMZ23" s="162"/>
      <c r="BNA23" s="162"/>
      <c r="BNB23" s="162"/>
      <c r="BNC23" s="162"/>
      <c r="BND23" s="162"/>
      <c r="BNE23" s="164"/>
      <c r="BNF23" s="162"/>
      <c r="BNG23" s="162"/>
      <c r="BNH23" s="162"/>
      <c r="BNI23" s="162"/>
      <c r="BNJ23" s="162"/>
      <c r="BNK23" s="165"/>
      <c r="BNL23" s="162"/>
      <c r="BNM23" s="162"/>
      <c r="BNN23" s="162"/>
      <c r="BNO23" s="162"/>
      <c r="BNP23" s="162"/>
      <c r="BNQ23" s="164"/>
      <c r="BNR23" s="162"/>
      <c r="BNS23" s="162"/>
      <c r="BNT23" s="162"/>
      <c r="BNU23" s="162"/>
      <c r="BNV23" s="162"/>
      <c r="BNW23" s="165"/>
      <c r="BNX23" s="162"/>
      <c r="BNY23" s="162"/>
      <c r="BNZ23" s="162"/>
      <c r="BOA23" s="162"/>
      <c r="BOB23" s="162"/>
      <c r="BOC23" s="166"/>
      <c r="BOD23" s="161"/>
      <c r="BOE23" s="162"/>
      <c r="BOF23" s="162"/>
      <c r="BOG23" s="162"/>
      <c r="BOH23" s="162"/>
      <c r="BOI23" s="163"/>
      <c r="BOJ23" s="162"/>
      <c r="BOK23" s="162"/>
      <c r="BOL23" s="162"/>
      <c r="BOM23" s="162"/>
      <c r="BON23" s="162"/>
      <c r="BOO23" s="164"/>
      <c r="BOP23" s="162"/>
      <c r="BOQ23" s="162"/>
      <c r="BOR23" s="162"/>
      <c r="BOS23" s="162"/>
      <c r="BOT23" s="162"/>
      <c r="BOU23" s="165"/>
      <c r="BOV23" s="162"/>
      <c r="BOW23" s="162"/>
      <c r="BOX23" s="162"/>
      <c r="BOY23" s="162"/>
      <c r="BOZ23" s="162"/>
      <c r="BPA23" s="164"/>
      <c r="BPB23" s="162"/>
      <c r="BPC23" s="162"/>
      <c r="BPD23" s="162"/>
      <c r="BPE23" s="162"/>
      <c r="BPF23" s="162"/>
      <c r="BPG23" s="165"/>
      <c r="BPH23" s="162"/>
      <c r="BPI23" s="162"/>
      <c r="BPJ23" s="162"/>
      <c r="BPK23" s="162"/>
      <c r="BPL23" s="162"/>
      <c r="BPM23" s="164"/>
      <c r="BPN23" s="162"/>
      <c r="BPO23" s="162"/>
      <c r="BPP23" s="162"/>
      <c r="BPQ23" s="162"/>
      <c r="BPR23" s="162"/>
      <c r="BPS23" s="165"/>
      <c r="BPT23" s="162"/>
      <c r="BPU23" s="162"/>
      <c r="BPV23" s="162"/>
      <c r="BPW23" s="162"/>
      <c r="BPX23" s="162"/>
      <c r="BPY23" s="164"/>
      <c r="BPZ23" s="162"/>
      <c r="BQA23" s="162"/>
      <c r="BQB23" s="162"/>
      <c r="BQC23" s="162"/>
      <c r="BQD23" s="162"/>
      <c r="BQE23" s="165"/>
      <c r="BQF23" s="162"/>
      <c r="BQG23" s="162"/>
      <c r="BQH23" s="162"/>
      <c r="BQI23" s="162"/>
      <c r="BQJ23" s="162"/>
      <c r="BQK23" s="166"/>
    </row>
    <row r="24" spans="1:1805" ht="20.100000000000001" customHeight="1" x14ac:dyDescent="0.25">
      <c r="A24" s="84" t="s">
        <v>20</v>
      </c>
      <c r="B24" s="53" t="str">
        <f>IF(LEN(C33)=0,"",C33)</f>
        <v>Réalisation - Gestion de la DB</v>
      </c>
      <c r="C24" s="229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  <c r="BLV24" s="175"/>
      <c r="BLW24" s="176"/>
      <c r="BLX24" s="176"/>
      <c r="BLY24" s="176"/>
      <c r="BLZ24" s="176"/>
      <c r="BMA24" s="177"/>
      <c r="BMB24" s="176"/>
      <c r="BMC24" s="176"/>
      <c r="BMD24" s="176"/>
      <c r="BME24" s="176"/>
      <c r="BMF24" s="176"/>
      <c r="BMG24" s="178"/>
      <c r="BMH24" s="176"/>
      <c r="BMI24" s="176"/>
      <c r="BMJ24" s="176"/>
      <c r="BMK24" s="176"/>
      <c r="BML24" s="176"/>
      <c r="BMM24" s="179"/>
      <c r="BMN24" s="176"/>
      <c r="BMO24" s="176"/>
      <c r="BMP24" s="176"/>
      <c r="BMQ24" s="176"/>
      <c r="BMR24" s="176"/>
      <c r="BMS24" s="178"/>
      <c r="BMT24" s="176"/>
      <c r="BMU24" s="176"/>
      <c r="BMV24" s="176"/>
      <c r="BMW24" s="176"/>
      <c r="BMX24" s="176"/>
      <c r="BMY24" s="179"/>
      <c r="BMZ24" s="176"/>
      <c r="BNA24" s="176"/>
      <c r="BNB24" s="176"/>
      <c r="BNC24" s="176"/>
      <c r="BND24" s="176"/>
      <c r="BNE24" s="178"/>
      <c r="BNF24" s="176"/>
      <c r="BNG24" s="176"/>
      <c r="BNH24" s="176"/>
      <c r="BNI24" s="176"/>
      <c r="BNJ24" s="176"/>
      <c r="BNK24" s="179"/>
      <c r="BNL24" s="176"/>
      <c r="BNM24" s="176"/>
      <c r="BNN24" s="176"/>
      <c r="BNO24" s="176"/>
      <c r="BNP24" s="176"/>
      <c r="BNQ24" s="178"/>
      <c r="BNR24" s="176"/>
      <c r="BNS24" s="176"/>
      <c r="BNT24" s="176"/>
      <c r="BNU24" s="176"/>
      <c r="BNV24" s="176"/>
      <c r="BNW24" s="179"/>
      <c r="BNX24" s="176"/>
      <c r="BNY24" s="176"/>
      <c r="BNZ24" s="176"/>
      <c r="BOA24" s="176"/>
      <c r="BOB24" s="176"/>
      <c r="BOC24" s="180"/>
      <c r="BOD24" s="175"/>
      <c r="BOE24" s="176"/>
      <c r="BOF24" s="176"/>
      <c r="BOG24" s="176"/>
      <c r="BOH24" s="176"/>
      <c r="BOI24" s="177"/>
      <c r="BOJ24" s="176"/>
      <c r="BOK24" s="176"/>
      <c r="BOL24" s="176"/>
      <c r="BOM24" s="176"/>
      <c r="BON24" s="176"/>
      <c r="BOO24" s="178"/>
      <c r="BOP24" s="176"/>
      <c r="BOQ24" s="176"/>
      <c r="BOR24" s="176"/>
      <c r="BOS24" s="176"/>
      <c r="BOT24" s="176"/>
      <c r="BOU24" s="179"/>
      <c r="BOV24" s="176"/>
      <c r="BOW24" s="176"/>
      <c r="BOX24" s="176"/>
      <c r="BOY24" s="176"/>
      <c r="BOZ24" s="176"/>
      <c r="BPA24" s="178"/>
      <c r="BPB24" s="176"/>
      <c r="BPC24" s="176"/>
      <c r="BPD24" s="176"/>
      <c r="BPE24" s="176"/>
      <c r="BPF24" s="176"/>
      <c r="BPG24" s="179"/>
      <c r="BPH24" s="176"/>
      <c r="BPI24" s="176"/>
      <c r="BPJ24" s="176"/>
      <c r="BPK24" s="176"/>
      <c r="BPL24" s="176"/>
      <c r="BPM24" s="178"/>
      <c r="BPN24" s="176"/>
      <c r="BPO24" s="176"/>
      <c r="BPP24" s="176"/>
      <c r="BPQ24" s="176"/>
      <c r="BPR24" s="176"/>
      <c r="BPS24" s="179"/>
      <c r="BPT24" s="176"/>
      <c r="BPU24" s="176"/>
      <c r="BPV24" s="176"/>
      <c r="BPW24" s="176"/>
      <c r="BPX24" s="176"/>
      <c r="BPY24" s="178"/>
      <c r="BPZ24" s="176"/>
      <c r="BQA24" s="176"/>
      <c r="BQB24" s="176"/>
      <c r="BQC24" s="176"/>
      <c r="BQD24" s="176"/>
      <c r="BQE24" s="179"/>
      <c r="BQF24" s="176"/>
      <c r="BQG24" s="176"/>
      <c r="BQH24" s="176"/>
      <c r="BQI24" s="176"/>
      <c r="BQJ24" s="176"/>
      <c r="BQK24" s="180"/>
    </row>
    <row r="25" spans="1:180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28" t="s">
        <v>91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  <c r="BLV25" s="155"/>
      <c r="BLW25" s="156"/>
      <c r="BLX25" s="156"/>
      <c r="BLY25" s="156"/>
      <c r="BLZ25" s="156"/>
      <c r="BMA25" s="157"/>
      <c r="BMB25" s="156"/>
      <c r="BMC25" s="156"/>
      <c r="BMD25" s="156"/>
      <c r="BME25" s="156"/>
      <c r="BMF25" s="156"/>
      <c r="BMG25" s="158"/>
      <c r="BMH25" s="156"/>
      <c r="BMI25" s="156"/>
      <c r="BMJ25" s="156"/>
      <c r="BMK25" s="156"/>
      <c r="BML25" s="156"/>
      <c r="BMM25" s="159"/>
      <c r="BMN25" s="156"/>
      <c r="BMO25" s="156"/>
      <c r="BMP25" s="156"/>
      <c r="BMQ25" s="156"/>
      <c r="BMR25" s="156"/>
      <c r="BMS25" s="158"/>
      <c r="BMT25" s="156"/>
      <c r="BMU25" s="156"/>
      <c r="BMV25" s="156"/>
      <c r="BMW25" s="156"/>
      <c r="BMX25" s="156"/>
      <c r="BMY25" s="159"/>
      <c r="BMZ25" s="156"/>
      <c r="BNA25" s="156"/>
      <c r="BNB25" s="156"/>
      <c r="BNC25" s="156"/>
      <c r="BND25" s="156"/>
      <c r="BNE25" s="158"/>
      <c r="BNF25" s="156"/>
      <c r="BNG25" s="156"/>
      <c r="BNH25" s="156"/>
      <c r="BNI25" s="156"/>
      <c r="BNJ25" s="156"/>
      <c r="BNK25" s="159"/>
      <c r="BNL25" s="156"/>
      <c r="BNM25" s="156"/>
      <c r="BNN25" s="156"/>
      <c r="BNO25" s="156"/>
      <c r="BNP25" s="156"/>
      <c r="BNQ25" s="158"/>
      <c r="BNR25" s="156"/>
      <c r="BNS25" s="156"/>
      <c r="BNT25" s="156"/>
      <c r="BNU25" s="156"/>
      <c r="BNV25" s="156"/>
      <c r="BNW25" s="159"/>
      <c r="BNX25" s="156"/>
      <c r="BNY25" s="156"/>
      <c r="BNZ25" s="156"/>
      <c r="BOA25" s="156"/>
      <c r="BOB25" s="156"/>
      <c r="BOC25" s="160"/>
      <c r="BOD25" s="155"/>
      <c r="BOE25" s="156"/>
      <c r="BOF25" s="156"/>
      <c r="BOG25" s="156"/>
      <c r="BOH25" s="156"/>
      <c r="BOI25" s="157"/>
      <c r="BOJ25" s="156"/>
      <c r="BOK25" s="156"/>
      <c r="BOL25" s="156"/>
      <c r="BOM25" s="156"/>
      <c r="BON25" s="156"/>
      <c r="BOO25" s="158"/>
      <c r="BOP25" s="156"/>
      <c r="BOQ25" s="156"/>
      <c r="BOR25" s="156"/>
      <c r="BOS25" s="156"/>
      <c r="BOT25" s="156"/>
      <c r="BOU25" s="159"/>
      <c r="BOV25" s="156"/>
      <c r="BOW25" s="156"/>
      <c r="BOX25" s="156"/>
      <c r="BOY25" s="156"/>
      <c r="BOZ25" s="156"/>
      <c r="BPA25" s="158"/>
      <c r="BPB25" s="156"/>
      <c r="BPC25" s="156"/>
      <c r="BPD25" s="156"/>
      <c r="BPE25" s="156"/>
      <c r="BPF25" s="156"/>
      <c r="BPG25" s="159"/>
      <c r="BPH25" s="156"/>
      <c r="BPI25" s="156"/>
      <c r="BPJ25" s="156"/>
      <c r="BPK25" s="156"/>
      <c r="BPL25" s="156"/>
      <c r="BPM25" s="158"/>
      <c r="BPN25" s="156"/>
      <c r="BPO25" s="156"/>
      <c r="BPP25" s="156"/>
      <c r="BPQ25" s="156"/>
      <c r="BPR25" s="156"/>
      <c r="BPS25" s="159"/>
      <c r="BPT25" s="156"/>
      <c r="BPU25" s="156"/>
      <c r="BPV25" s="156"/>
      <c r="BPW25" s="156"/>
      <c r="BPX25" s="156"/>
      <c r="BPY25" s="158"/>
      <c r="BPZ25" s="156"/>
      <c r="BQA25" s="156"/>
      <c r="BQB25" s="156"/>
      <c r="BQC25" s="156"/>
      <c r="BQD25" s="156"/>
      <c r="BQE25" s="159"/>
      <c r="BQF25" s="156"/>
      <c r="BQG25" s="156"/>
      <c r="BQH25" s="156"/>
      <c r="BQI25" s="156"/>
      <c r="BQJ25" s="156"/>
      <c r="BQK25" s="160"/>
    </row>
    <row r="26" spans="1:180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29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  <c r="BLV26" s="181"/>
      <c r="BLW26" s="182"/>
      <c r="BLX26" s="182"/>
      <c r="BLY26" s="182"/>
      <c r="BLZ26" s="182"/>
      <c r="BMA26" s="183"/>
      <c r="BMB26" s="182"/>
      <c r="BMC26" s="182"/>
      <c r="BMD26" s="182"/>
      <c r="BME26" s="182"/>
      <c r="BMF26" s="182"/>
      <c r="BMG26" s="184"/>
      <c r="BMH26" s="182"/>
      <c r="BMI26" s="182"/>
      <c r="BMJ26" s="182"/>
      <c r="BMK26" s="182"/>
      <c r="BML26" s="182"/>
      <c r="BMM26" s="185"/>
      <c r="BMN26" s="182"/>
      <c r="BMO26" s="182"/>
      <c r="BMP26" s="182"/>
      <c r="BMQ26" s="182"/>
      <c r="BMR26" s="182"/>
      <c r="BMS26" s="184"/>
      <c r="BMT26" s="182"/>
      <c r="BMU26" s="182"/>
      <c r="BMV26" s="182"/>
      <c r="BMW26" s="182"/>
      <c r="BMX26" s="182"/>
      <c r="BMY26" s="185"/>
      <c r="BMZ26" s="182"/>
      <c r="BNA26" s="182"/>
      <c r="BNB26" s="182"/>
      <c r="BNC26" s="182"/>
      <c r="BND26" s="182"/>
      <c r="BNE26" s="184"/>
      <c r="BNF26" s="182"/>
      <c r="BNG26" s="182"/>
      <c r="BNH26" s="182"/>
      <c r="BNI26" s="182"/>
      <c r="BNJ26" s="182"/>
      <c r="BNK26" s="185"/>
      <c r="BNL26" s="182"/>
      <c r="BNM26" s="182"/>
      <c r="BNN26" s="182"/>
      <c r="BNO26" s="182"/>
      <c r="BNP26" s="182"/>
      <c r="BNQ26" s="184"/>
      <c r="BNR26" s="182"/>
      <c r="BNS26" s="182"/>
      <c r="BNT26" s="182"/>
      <c r="BNU26" s="182"/>
      <c r="BNV26" s="182"/>
      <c r="BNW26" s="185"/>
      <c r="BNX26" s="182"/>
      <c r="BNY26" s="182"/>
      <c r="BNZ26" s="182"/>
      <c r="BOA26" s="182"/>
      <c r="BOB26" s="182"/>
      <c r="BOC26" s="186"/>
      <c r="BOD26" s="181"/>
      <c r="BOE26" s="182"/>
      <c r="BOF26" s="182"/>
      <c r="BOG26" s="182"/>
      <c r="BOH26" s="182"/>
      <c r="BOI26" s="183"/>
      <c r="BOJ26" s="182"/>
      <c r="BOK26" s="182"/>
      <c r="BOL26" s="182"/>
      <c r="BOM26" s="182"/>
      <c r="BON26" s="182"/>
      <c r="BOO26" s="184"/>
      <c r="BOP26" s="182"/>
      <c r="BOQ26" s="182"/>
      <c r="BOR26" s="182"/>
      <c r="BOS26" s="182"/>
      <c r="BOT26" s="182"/>
      <c r="BOU26" s="185"/>
      <c r="BOV26" s="182"/>
      <c r="BOW26" s="182"/>
      <c r="BOX26" s="182"/>
      <c r="BOY26" s="182"/>
      <c r="BOZ26" s="182"/>
      <c r="BPA26" s="184"/>
      <c r="BPB26" s="182"/>
      <c r="BPC26" s="182"/>
      <c r="BPD26" s="182"/>
      <c r="BPE26" s="182"/>
      <c r="BPF26" s="182"/>
      <c r="BPG26" s="185"/>
      <c r="BPH26" s="182"/>
      <c r="BPI26" s="182"/>
      <c r="BPJ26" s="182"/>
      <c r="BPK26" s="182"/>
      <c r="BPL26" s="182"/>
      <c r="BPM26" s="184"/>
      <c r="BPN26" s="182"/>
      <c r="BPO26" s="182"/>
      <c r="BPP26" s="182"/>
      <c r="BPQ26" s="182"/>
      <c r="BPR26" s="182"/>
      <c r="BPS26" s="185"/>
      <c r="BPT26" s="182"/>
      <c r="BPU26" s="182"/>
      <c r="BPV26" s="182"/>
      <c r="BPW26" s="182"/>
      <c r="BPX26" s="182"/>
      <c r="BPY26" s="184"/>
      <c r="BPZ26" s="182"/>
      <c r="BQA26" s="182"/>
      <c r="BQB26" s="182"/>
      <c r="BQC26" s="182"/>
      <c r="BQD26" s="182"/>
      <c r="BQE26" s="185"/>
      <c r="BQF26" s="182"/>
      <c r="BQG26" s="182"/>
      <c r="BQH26" s="182"/>
      <c r="BQI26" s="182"/>
      <c r="BQJ26" s="182"/>
      <c r="BQK26" s="186"/>
    </row>
    <row r="27" spans="1:180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28" t="s">
        <v>92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  <c r="BLV27" s="161"/>
      <c r="BLW27" s="162"/>
      <c r="BLX27" s="162"/>
      <c r="BLY27" s="162"/>
      <c r="BLZ27" s="162"/>
      <c r="BMA27" s="163"/>
      <c r="BMB27" s="162"/>
      <c r="BMC27" s="162"/>
      <c r="BMD27" s="162"/>
      <c r="BME27" s="162"/>
      <c r="BMF27" s="162"/>
      <c r="BMG27" s="164"/>
      <c r="BMH27" s="162"/>
      <c r="BMI27" s="162"/>
      <c r="BMJ27" s="162"/>
      <c r="BMK27" s="162"/>
      <c r="BML27" s="162"/>
      <c r="BMM27" s="165"/>
      <c r="BMN27" s="162"/>
      <c r="BMO27" s="162"/>
      <c r="BMP27" s="162"/>
      <c r="BMQ27" s="162"/>
      <c r="BMR27" s="162"/>
      <c r="BMS27" s="164"/>
      <c r="BMT27" s="162"/>
      <c r="BMU27" s="162"/>
      <c r="BMV27" s="162"/>
      <c r="BMW27" s="162"/>
      <c r="BMX27" s="162"/>
      <c r="BMY27" s="165"/>
      <c r="BMZ27" s="162"/>
      <c r="BNA27" s="162"/>
      <c r="BNB27" s="162"/>
      <c r="BNC27" s="162"/>
      <c r="BND27" s="162"/>
      <c r="BNE27" s="164"/>
      <c r="BNF27" s="162"/>
      <c r="BNG27" s="162"/>
      <c r="BNH27" s="162"/>
      <c r="BNI27" s="162"/>
      <c r="BNJ27" s="162"/>
      <c r="BNK27" s="165"/>
      <c r="BNL27" s="162"/>
      <c r="BNM27" s="162"/>
      <c r="BNN27" s="162"/>
      <c r="BNO27" s="162"/>
      <c r="BNP27" s="162"/>
      <c r="BNQ27" s="164"/>
      <c r="BNR27" s="162"/>
      <c r="BNS27" s="162"/>
      <c r="BNT27" s="162"/>
      <c r="BNU27" s="162"/>
      <c r="BNV27" s="162"/>
      <c r="BNW27" s="165"/>
      <c r="BNX27" s="162"/>
      <c r="BNY27" s="162"/>
      <c r="BNZ27" s="162"/>
      <c r="BOA27" s="162"/>
      <c r="BOB27" s="162"/>
      <c r="BOC27" s="166"/>
      <c r="BOD27" s="161"/>
      <c r="BOE27" s="162"/>
      <c r="BOF27" s="162"/>
      <c r="BOG27" s="162"/>
      <c r="BOH27" s="162"/>
      <c r="BOI27" s="163"/>
      <c r="BOJ27" s="162"/>
      <c r="BOK27" s="162"/>
      <c r="BOL27" s="162"/>
      <c r="BOM27" s="162"/>
      <c r="BON27" s="162"/>
      <c r="BOO27" s="164"/>
      <c r="BOP27" s="162"/>
      <c r="BOQ27" s="162"/>
      <c r="BOR27" s="162"/>
      <c r="BOS27" s="162"/>
      <c r="BOT27" s="162"/>
      <c r="BOU27" s="165"/>
      <c r="BOV27" s="162"/>
      <c r="BOW27" s="162"/>
      <c r="BOX27" s="162"/>
      <c r="BOY27" s="162"/>
      <c r="BOZ27" s="162"/>
      <c r="BPA27" s="164"/>
      <c r="BPB27" s="162"/>
      <c r="BPC27" s="162"/>
      <c r="BPD27" s="162"/>
      <c r="BPE27" s="162"/>
      <c r="BPF27" s="162"/>
      <c r="BPG27" s="165"/>
      <c r="BPH27" s="162"/>
      <c r="BPI27" s="162"/>
      <c r="BPJ27" s="162"/>
      <c r="BPK27" s="162"/>
      <c r="BPL27" s="162"/>
      <c r="BPM27" s="164"/>
      <c r="BPN27" s="162"/>
      <c r="BPO27" s="162"/>
      <c r="BPP27" s="162"/>
      <c r="BPQ27" s="162"/>
      <c r="BPR27" s="162"/>
      <c r="BPS27" s="165"/>
      <c r="BPT27" s="162"/>
      <c r="BPU27" s="162"/>
      <c r="BPV27" s="162"/>
      <c r="BPW27" s="162"/>
      <c r="BPX27" s="162"/>
      <c r="BPY27" s="164"/>
      <c r="BPZ27" s="162"/>
      <c r="BQA27" s="162"/>
      <c r="BQB27" s="162"/>
      <c r="BQC27" s="162"/>
      <c r="BQD27" s="162"/>
      <c r="BQE27" s="165"/>
      <c r="BQF27" s="162"/>
      <c r="BQG27" s="162"/>
      <c r="BQH27" s="162"/>
      <c r="BQI27" s="162"/>
      <c r="BQJ27" s="162"/>
      <c r="BQK27" s="166"/>
    </row>
    <row r="28" spans="1:180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29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  <c r="BLV28" s="175"/>
      <c r="BLW28" s="176"/>
      <c r="BLX28" s="176"/>
      <c r="BLY28" s="176"/>
      <c r="BLZ28" s="176"/>
      <c r="BMA28" s="177"/>
      <c r="BMB28" s="176"/>
      <c r="BMC28" s="176"/>
      <c r="BMD28" s="176"/>
      <c r="BME28" s="176"/>
      <c r="BMF28" s="176"/>
      <c r="BMG28" s="178"/>
      <c r="BMH28" s="176"/>
      <c r="BMI28" s="176"/>
      <c r="BMJ28" s="176"/>
      <c r="BMK28" s="176"/>
      <c r="BML28" s="176"/>
      <c r="BMM28" s="179"/>
      <c r="BMN28" s="176"/>
      <c r="BMO28" s="176"/>
      <c r="BMP28" s="176"/>
      <c r="BMQ28" s="176"/>
      <c r="BMR28" s="176"/>
      <c r="BMS28" s="178"/>
      <c r="BMT28" s="176"/>
      <c r="BMU28" s="176"/>
      <c r="BMV28" s="176"/>
      <c r="BMW28" s="176"/>
      <c r="BMX28" s="176"/>
      <c r="BMY28" s="179"/>
      <c r="BMZ28" s="176"/>
      <c r="BNA28" s="176"/>
      <c r="BNB28" s="176"/>
      <c r="BNC28" s="176"/>
      <c r="BND28" s="176"/>
      <c r="BNE28" s="178"/>
      <c r="BNF28" s="176"/>
      <c r="BNG28" s="176"/>
      <c r="BNH28" s="176"/>
      <c r="BNI28" s="176"/>
      <c r="BNJ28" s="176"/>
      <c r="BNK28" s="179"/>
      <c r="BNL28" s="176"/>
      <c r="BNM28" s="176"/>
      <c r="BNN28" s="176"/>
      <c r="BNO28" s="176"/>
      <c r="BNP28" s="176"/>
      <c r="BNQ28" s="178"/>
      <c r="BNR28" s="176"/>
      <c r="BNS28" s="176"/>
      <c r="BNT28" s="176"/>
      <c r="BNU28" s="176"/>
      <c r="BNV28" s="176"/>
      <c r="BNW28" s="179"/>
      <c r="BNX28" s="176"/>
      <c r="BNY28" s="176"/>
      <c r="BNZ28" s="176"/>
      <c r="BOA28" s="176"/>
      <c r="BOB28" s="176"/>
      <c r="BOC28" s="180"/>
      <c r="BOD28" s="175"/>
      <c r="BOE28" s="176"/>
      <c r="BOF28" s="176"/>
      <c r="BOG28" s="176"/>
      <c r="BOH28" s="176"/>
      <c r="BOI28" s="177"/>
      <c r="BOJ28" s="176"/>
      <c r="BOK28" s="176"/>
      <c r="BOL28" s="176"/>
      <c r="BOM28" s="176"/>
      <c r="BON28" s="176"/>
      <c r="BOO28" s="178"/>
      <c r="BOP28" s="176"/>
      <c r="BOQ28" s="176"/>
      <c r="BOR28" s="176"/>
      <c r="BOS28" s="176"/>
      <c r="BOT28" s="176"/>
      <c r="BOU28" s="179"/>
      <c r="BOV28" s="176"/>
      <c r="BOW28" s="176"/>
      <c r="BOX28" s="176"/>
      <c r="BOY28" s="176"/>
      <c r="BOZ28" s="176"/>
      <c r="BPA28" s="178"/>
      <c r="BPB28" s="176"/>
      <c r="BPC28" s="176"/>
      <c r="BPD28" s="176"/>
      <c r="BPE28" s="176"/>
      <c r="BPF28" s="176"/>
      <c r="BPG28" s="179"/>
      <c r="BPH28" s="176"/>
      <c r="BPI28" s="176"/>
      <c r="BPJ28" s="176"/>
      <c r="BPK28" s="176"/>
      <c r="BPL28" s="176"/>
      <c r="BPM28" s="178"/>
      <c r="BPN28" s="176"/>
      <c r="BPO28" s="176"/>
      <c r="BPP28" s="176"/>
      <c r="BPQ28" s="176"/>
      <c r="BPR28" s="176"/>
      <c r="BPS28" s="179"/>
      <c r="BPT28" s="176"/>
      <c r="BPU28" s="176"/>
      <c r="BPV28" s="176"/>
      <c r="BPW28" s="176"/>
      <c r="BPX28" s="176"/>
      <c r="BPY28" s="178"/>
      <c r="BPZ28" s="176"/>
      <c r="BQA28" s="176"/>
      <c r="BQB28" s="176"/>
      <c r="BQC28" s="176"/>
      <c r="BQD28" s="176"/>
      <c r="BQE28" s="179"/>
      <c r="BQF28" s="176"/>
      <c r="BQG28" s="176"/>
      <c r="BQH28" s="176"/>
      <c r="BQI28" s="176"/>
      <c r="BQJ28" s="176"/>
      <c r="BQK28" s="180"/>
    </row>
    <row r="29" spans="1:180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28" t="s">
        <v>93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  <c r="BLV29" s="155"/>
      <c r="BLW29" s="156"/>
      <c r="BLX29" s="156"/>
      <c r="BLY29" s="156"/>
      <c r="BLZ29" s="156"/>
      <c r="BMA29" s="157"/>
      <c r="BMB29" s="156"/>
      <c r="BMC29" s="156"/>
      <c r="BMD29" s="156"/>
      <c r="BME29" s="156"/>
      <c r="BMF29" s="156"/>
      <c r="BMG29" s="158"/>
      <c r="BMH29" s="156"/>
      <c r="BMI29" s="156"/>
      <c r="BMJ29" s="156"/>
      <c r="BMK29" s="156"/>
      <c r="BML29" s="156"/>
      <c r="BMM29" s="159"/>
      <c r="BMN29" s="156"/>
      <c r="BMO29" s="156"/>
      <c r="BMP29" s="156"/>
      <c r="BMQ29" s="156"/>
      <c r="BMR29" s="156"/>
      <c r="BMS29" s="158"/>
      <c r="BMT29" s="156"/>
      <c r="BMU29" s="156"/>
      <c r="BMV29" s="156"/>
      <c r="BMW29" s="156"/>
      <c r="BMX29" s="156"/>
      <c r="BMY29" s="159"/>
      <c r="BMZ29" s="156"/>
      <c r="BNA29" s="156"/>
      <c r="BNB29" s="156"/>
      <c r="BNC29" s="156"/>
      <c r="BND29" s="156"/>
      <c r="BNE29" s="158"/>
      <c r="BNF29" s="156"/>
      <c r="BNG29" s="156"/>
      <c r="BNH29" s="156"/>
      <c r="BNI29" s="156"/>
      <c r="BNJ29" s="156"/>
      <c r="BNK29" s="159"/>
      <c r="BNL29" s="156"/>
      <c r="BNM29" s="156"/>
      <c r="BNN29" s="156"/>
      <c r="BNO29" s="156"/>
      <c r="BNP29" s="156"/>
      <c r="BNQ29" s="158"/>
      <c r="BNR29" s="156"/>
      <c r="BNS29" s="156"/>
      <c r="BNT29" s="156"/>
      <c r="BNU29" s="156"/>
      <c r="BNV29" s="156"/>
      <c r="BNW29" s="159"/>
      <c r="BNX29" s="156"/>
      <c r="BNY29" s="156"/>
      <c r="BNZ29" s="156"/>
      <c r="BOA29" s="156"/>
      <c r="BOB29" s="156"/>
      <c r="BOC29" s="160"/>
      <c r="BOD29" s="155"/>
      <c r="BOE29" s="156"/>
      <c r="BOF29" s="156"/>
      <c r="BOG29" s="156"/>
      <c r="BOH29" s="156"/>
      <c r="BOI29" s="157"/>
      <c r="BOJ29" s="156"/>
      <c r="BOK29" s="156"/>
      <c r="BOL29" s="156"/>
      <c r="BOM29" s="156"/>
      <c r="BON29" s="156"/>
      <c r="BOO29" s="158"/>
      <c r="BOP29" s="156"/>
      <c r="BOQ29" s="156"/>
      <c r="BOR29" s="156"/>
      <c r="BOS29" s="156"/>
      <c r="BOT29" s="156"/>
      <c r="BOU29" s="159"/>
      <c r="BOV29" s="156"/>
      <c r="BOW29" s="156"/>
      <c r="BOX29" s="156"/>
      <c r="BOY29" s="156"/>
      <c r="BOZ29" s="156"/>
      <c r="BPA29" s="158"/>
      <c r="BPB29" s="156"/>
      <c r="BPC29" s="156"/>
      <c r="BPD29" s="156"/>
      <c r="BPE29" s="156"/>
      <c r="BPF29" s="156"/>
      <c r="BPG29" s="159"/>
      <c r="BPH29" s="156"/>
      <c r="BPI29" s="156"/>
      <c r="BPJ29" s="156"/>
      <c r="BPK29" s="156"/>
      <c r="BPL29" s="156"/>
      <c r="BPM29" s="158"/>
      <c r="BPN29" s="156"/>
      <c r="BPO29" s="156"/>
      <c r="BPP29" s="156"/>
      <c r="BPQ29" s="156"/>
      <c r="BPR29" s="156"/>
      <c r="BPS29" s="159"/>
      <c r="BPT29" s="156"/>
      <c r="BPU29" s="156"/>
      <c r="BPV29" s="156"/>
      <c r="BPW29" s="156"/>
      <c r="BPX29" s="156"/>
      <c r="BPY29" s="158"/>
      <c r="BPZ29" s="156"/>
      <c r="BQA29" s="156"/>
      <c r="BQB29" s="156"/>
      <c r="BQC29" s="156"/>
      <c r="BQD29" s="156"/>
      <c r="BQE29" s="159"/>
      <c r="BQF29" s="156"/>
      <c r="BQG29" s="156"/>
      <c r="BQH29" s="156"/>
      <c r="BQI29" s="156"/>
      <c r="BQJ29" s="156"/>
      <c r="BQK29" s="160"/>
    </row>
    <row r="30" spans="1:180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29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  <c r="BLV30" s="181"/>
      <c r="BLW30" s="182"/>
      <c r="BLX30" s="182"/>
      <c r="BLY30" s="182"/>
      <c r="BLZ30" s="182"/>
      <c r="BMA30" s="183"/>
      <c r="BMB30" s="182"/>
      <c r="BMC30" s="182"/>
      <c r="BMD30" s="182"/>
      <c r="BME30" s="182"/>
      <c r="BMF30" s="182"/>
      <c r="BMG30" s="184"/>
      <c r="BMH30" s="182"/>
      <c r="BMI30" s="182"/>
      <c r="BMJ30" s="182"/>
      <c r="BMK30" s="182"/>
      <c r="BML30" s="182"/>
      <c r="BMM30" s="185"/>
      <c r="BMN30" s="182"/>
      <c r="BMO30" s="182"/>
      <c r="BMP30" s="182"/>
      <c r="BMQ30" s="182"/>
      <c r="BMR30" s="182"/>
      <c r="BMS30" s="184"/>
      <c r="BMT30" s="182"/>
      <c r="BMU30" s="182"/>
      <c r="BMV30" s="182"/>
      <c r="BMW30" s="182"/>
      <c r="BMX30" s="182"/>
      <c r="BMY30" s="185"/>
      <c r="BMZ30" s="182"/>
      <c r="BNA30" s="182"/>
      <c r="BNB30" s="182"/>
      <c r="BNC30" s="182"/>
      <c r="BND30" s="182"/>
      <c r="BNE30" s="184"/>
      <c r="BNF30" s="182"/>
      <c r="BNG30" s="182"/>
      <c r="BNH30" s="182"/>
      <c r="BNI30" s="182"/>
      <c r="BNJ30" s="182"/>
      <c r="BNK30" s="185"/>
      <c r="BNL30" s="182"/>
      <c r="BNM30" s="182"/>
      <c r="BNN30" s="182"/>
      <c r="BNO30" s="182"/>
      <c r="BNP30" s="182"/>
      <c r="BNQ30" s="184"/>
      <c r="BNR30" s="182"/>
      <c r="BNS30" s="182"/>
      <c r="BNT30" s="182"/>
      <c r="BNU30" s="182"/>
      <c r="BNV30" s="182"/>
      <c r="BNW30" s="185"/>
      <c r="BNX30" s="182"/>
      <c r="BNY30" s="182"/>
      <c r="BNZ30" s="182"/>
      <c r="BOA30" s="182"/>
      <c r="BOB30" s="182"/>
      <c r="BOC30" s="186"/>
      <c r="BOD30" s="181"/>
      <c r="BOE30" s="182"/>
      <c r="BOF30" s="182"/>
      <c r="BOG30" s="182"/>
      <c r="BOH30" s="182"/>
      <c r="BOI30" s="183"/>
      <c r="BOJ30" s="182"/>
      <c r="BOK30" s="182"/>
      <c r="BOL30" s="182"/>
      <c r="BOM30" s="182"/>
      <c r="BON30" s="182"/>
      <c r="BOO30" s="184"/>
      <c r="BOP30" s="182"/>
      <c r="BOQ30" s="182"/>
      <c r="BOR30" s="182"/>
      <c r="BOS30" s="182"/>
      <c r="BOT30" s="182"/>
      <c r="BOU30" s="185"/>
      <c r="BOV30" s="182"/>
      <c r="BOW30" s="182"/>
      <c r="BOX30" s="182"/>
      <c r="BOY30" s="182"/>
      <c r="BOZ30" s="182"/>
      <c r="BPA30" s="184"/>
      <c r="BPB30" s="182"/>
      <c r="BPC30" s="182"/>
      <c r="BPD30" s="182"/>
      <c r="BPE30" s="182"/>
      <c r="BPF30" s="182"/>
      <c r="BPG30" s="185"/>
      <c r="BPH30" s="182"/>
      <c r="BPI30" s="182"/>
      <c r="BPJ30" s="182"/>
      <c r="BPK30" s="182"/>
      <c r="BPL30" s="182"/>
      <c r="BPM30" s="184"/>
      <c r="BPN30" s="182"/>
      <c r="BPO30" s="182"/>
      <c r="BPP30" s="182"/>
      <c r="BPQ30" s="182"/>
      <c r="BPR30" s="182"/>
      <c r="BPS30" s="185"/>
      <c r="BPT30" s="182"/>
      <c r="BPU30" s="182"/>
      <c r="BPV30" s="182"/>
      <c r="BPW30" s="182"/>
      <c r="BPX30" s="182"/>
      <c r="BPY30" s="184"/>
      <c r="BPZ30" s="182"/>
      <c r="BQA30" s="182"/>
      <c r="BQB30" s="182"/>
      <c r="BQC30" s="182"/>
      <c r="BQD30" s="182"/>
      <c r="BQE30" s="185"/>
      <c r="BQF30" s="182"/>
      <c r="BQG30" s="182"/>
      <c r="BQH30" s="182"/>
      <c r="BQI30" s="182"/>
      <c r="BQJ30" s="182"/>
      <c r="BQK30" s="186"/>
    </row>
    <row r="31" spans="1:1805" ht="20.100000000000001" customHeight="1" x14ac:dyDescent="0.25">
      <c r="A31" s="84" t="s">
        <v>19</v>
      </c>
      <c r="B31" s="53" t="str">
        <f>IF(LEN(C47)=0,"",C47)</f>
        <v>Doc - Journal de travail</v>
      </c>
      <c r="C31" s="228" t="s">
        <v>82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  <c r="BLV31" s="161"/>
      <c r="BLW31" s="162"/>
      <c r="BLX31" s="162"/>
      <c r="BLY31" s="162"/>
      <c r="BLZ31" s="162"/>
      <c r="BMA31" s="163"/>
      <c r="BMB31" s="162"/>
      <c r="BMC31" s="162"/>
      <c r="BMD31" s="162"/>
      <c r="BME31" s="162"/>
      <c r="BMF31" s="162"/>
      <c r="BMG31" s="164"/>
      <c r="BMH31" s="162"/>
      <c r="BMI31" s="162"/>
      <c r="BMJ31" s="162"/>
      <c r="BMK31" s="162"/>
      <c r="BML31" s="162"/>
      <c r="BMM31" s="165"/>
      <c r="BMN31" s="162"/>
      <c r="BMO31" s="162"/>
      <c r="BMP31" s="162"/>
      <c r="BMQ31" s="162"/>
      <c r="BMR31" s="162"/>
      <c r="BMS31" s="164"/>
      <c r="BMT31" s="162"/>
      <c r="BMU31" s="162"/>
      <c r="BMV31" s="162"/>
      <c r="BMW31" s="162"/>
      <c r="BMX31" s="162"/>
      <c r="BMY31" s="165"/>
      <c r="BMZ31" s="162"/>
      <c r="BNA31" s="162"/>
      <c r="BNB31" s="162"/>
      <c r="BNC31" s="162"/>
      <c r="BND31" s="162"/>
      <c r="BNE31" s="164"/>
      <c r="BNF31" s="162"/>
      <c r="BNG31" s="162"/>
      <c r="BNH31" s="162"/>
      <c r="BNI31" s="162"/>
      <c r="BNJ31" s="162"/>
      <c r="BNK31" s="165"/>
      <c r="BNL31" s="162"/>
      <c r="BNM31" s="162"/>
      <c r="BNN31" s="162"/>
      <c r="BNO31" s="162"/>
      <c r="BNP31" s="162"/>
      <c r="BNQ31" s="164"/>
      <c r="BNR31" s="162"/>
      <c r="BNS31" s="162"/>
      <c r="BNT31" s="162"/>
      <c r="BNU31" s="162"/>
      <c r="BNV31" s="162"/>
      <c r="BNW31" s="165"/>
      <c r="BNX31" s="162"/>
      <c r="BNY31" s="162"/>
      <c r="BNZ31" s="162"/>
      <c r="BOA31" s="162"/>
      <c r="BOB31" s="162"/>
      <c r="BOC31" s="166"/>
      <c r="BOD31" s="161"/>
      <c r="BOE31" s="162"/>
      <c r="BOF31" s="162"/>
      <c r="BOG31" s="162"/>
      <c r="BOH31" s="162"/>
      <c r="BOI31" s="163"/>
      <c r="BOJ31" s="162"/>
      <c r="BOK31" s="162"/>
      <c r="BOL31" s="162"/>
      <c r="BOM31" s="162"/>
      <c r="BON31" s="162"/>
      <c r="BOO31" s="164"/>
      <c r="BOP31" s="162"/>
      <c r="BOQ31" s="162"/>
      <c r="BOR31" s="162"/>
      <c r="BOS31" s="162"/>
      <c r="BOT31" s="162"/>
      <c r="BOU31" s="165"/>
      <c r="BOV31" s="162"/>
      <c r="BOW31" s="162"/>
      <c r="BOX31" s="162"/>
      <c r="BOY31" s="162"/>
      <c r="BOZ31" s="162"/>
      <c r="BPA31" s="164"/>
      <c r="BPB31" s="162"/>
      <c r="BPC31" s="162"/>
      <c r="BPD31" s="162"/>
      <c r="BPE31" s="162"/>
      <c r="BPF31" s="162"/>
      <c r="BPG31" s="165"/>
      <c r="BPH31" s="162"/>
      <c r="BPI31" s="162"/>
      <c r="BPJ31" s="162"/>
      <c r="BPK31" s="162"/>
      <c r="BPL31" s="162"/>
      <c r="BPM31" s="164"/>
      <c r="BPN31" s="162"/>
      <c r="BPO31" s="162"/>
      <c r="BPP31" s="162"/>
      <c r="BPQ31" s="162"/>
      <c r="BPR31" s="162"/>
      <c r="BPS31" s="165"/>
      <c r="BPT31" s="162"/>
      <c r="BPU31" s="162"/>
      <c r="BPV31" s="162"/>
      <c r="BPW31" s="162"/>
      <c r="BPX31" s="162"/>
      <c r="BPY31" s="164"/>
      <c r="BPZ31" s="162"/>
      <c r="BQA31" s="162"/>
      <c r="BQB31" s="162"/>
      <c r="BQC31" s="162"/>
      <c r="BQD31" s="162"/>
      <c r="BQE31" s="165"/>
      <c r="BQF31" s="162"/>
      <c r="BQG31" s="162"/>
      <c r="BQH31" s="162"/>
      <c r="BQI31" s="162"/>
      <c r="BQJ31" s="162"/>
      <c r="BQK31" s="166"/>
    </row>
    <row r="32" spans="1:1805" ht="20.100000000000001" customHeight="1" x14ac:dyDescent="0.3">
      <c r="A32" s="84" t="s">
        <v>20</v>
      </c>
      <c r="B32" s="53" t="str">
        <f>IF(LEN(C49)=0,"",C49)</f>
        <v>Doc - Rapport</v>
      </c>
      <c r="C32" s="229"/>
      <c r="D32" s="131" t="str">
        <f t="shared" si="0"/>
        <v>2h55min</v>
      </c>
      <c r="E32" s="22">
        <v>35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1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176"/>
      <c r="GZ32" s="176"/>
      <c r="HA32" s="178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204"/>
      <c r="IM32" s="205"/>
      <c r="IN32" s="205"/>
      <c r="IO32" s="205"/>
      <c r="IP32" s="205"/>
      <c r="IQ32" s="213"/>
      <c r="IR32" s="205"/>
      <c r="IS32" s="205"/>
      <c r="IT32" s="205"/>
      <c r="IU32" s="205"/>
      <c r="IV32" s="205"/>
      <c r="IW32" s="210"/>
      <c r="IX32" s="205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  <c r="BLV32" s="175"/>
      <c r="BLW32" s="176"/>
      <c r="BLX32" s="176"/>
      <c r="BLY32" s="176"/>
      <c r="BLZ32" s="176"/>
      <c r="BMA32" s="177"/>
      <c r="BMB32" s="176"/>
      <c r="BMC32" s="176"/>
      <c r="BMD32" s="176"/>
      <c r="BME32" s="176"/>
      <c r="BMF32" s="176"/>
      <c r="BMG32" s="178"/>
      <c r="BMH32" s="176"/>
      <c r="BMI32" s="176"/>
      <c r="BMJ32" s="176"/>
      <c r="BMK32" s="176"/>
      <c r="BML32" s="176"/>
      <c r="BMM32" s="179"/>
      <c r="BMN32" s="176"/>
      <c r="BMO32" s="176"/>
      <c r="BMP32" s="176"/>
      <c r="BMQ32" s="176"/>
      <c r="BMR32" s="176"/>
      <c r="BMS32" s="178"/>
      <c r="BMT32" s="176"/>
      <c r="BMU32" s="176"/>
      <c r="BMV32" s="176"/>
      <c r="BMW32" s="176"/>
      <c r="BMX32" s="176"/>
      <c r="BMY32" s="179"/>
      <c r="BMZ32" s="176"/>
      <c r="BNA32" s="176"/>
      <c r="BNB32" s="176"/>
      <c r="BNC32" s="176"/>
      <c r="BND32" s="176"/>
      <c r="BNE32" s="178"/>
      <c r="BNF32" s="176"/>
      <c r="BNG32" s="176"/>
      <c r="BNH32" s="176"/>
      <c r="BNI32" s="176"/>
      <c r="BNJ32" s="176"/>
      <c r="BNK32" s="179"/>
      <c r="BNL32" s="176"/>
      <c r="BNM32" s="176"/>
      <c r="BNN32" s="176"/>
      <c r="BNO32" s="176"/>
      <c r="BNP32" s="176"/>
      <c r="BNQ32" s="178"/>
      <c r="BNR32" s="176"/>
      <c r="BNS32" s="176"/>
      <c r="BNT32" s="176"/>
      <c r="BNU32" s="176"/>
      <c r="BNV32" s="176"/>
      <c r="BNW32" s="179"/>
      <c r="BNX32" s="176"/>
      <c r="BNY32" s="176"/>
      <c r="BNZ32" s="176"/>
      <c r="BOA32" s="176"/>
      <c r="BOB32" s="176"/>
      <c r="BOC32" s="180"/>
      <c r="BOD32" s="175"/>
      <c r="BOE32" s="176"/>
      <c r="BOF32" s="176"/>
      <c r="BOG32" s="176"/>
      <c r="BOH32" s="176"/>
      <c r="BOI32" s="177"/>
      <c r="BOJ32" s="176"/>
      <c r="BOK32" s="176"/>
      <c r="BOL32" s="176"/>
      <c r="BOM32" s="176"/>
      <c r="BON32" s="176"/>
      <c r="BOO32" s="178"/>
      <c r="BOP32" s="176"/>
      <c r="BOQ32" s="176"/>
      <c r="BOR32" s="176"/>
      <c r="BOS32" s="176"/>
      <c r="BOT32" s="176"/>
      <c r="BOU32" s="179"/>
      <c r="BOV32" s="176"/>
      <c r="BOW32" s="176"/>
      <c r="BOX32" s="176"/>
      <c r="BOY32" s="176"/>
      <c r="BOZ32" s="176"/>
      <c r="BPA32" s="178"/>
      <c r="BPB32" s="176"/>
      <c r="BPC32" s="176"/>
      <c r="BPD32" s="176"/>
      <c r="BPE32" s="176"/>
      <c r="BPF32" s="176"/>
      <c r="BPG32" s="179"/>
      <c r="BPH32" s="176"/>
      <c r="BPI32" s="176"/>
      <c r="BPJ32" s="176"/>
      <c r="BPK32" s="176"/>
      <c r="BPL32" s="176"/>
      <c r="BPM32" s="178"/>
      <c r="BPN32" s="176"/>
      <c r="BPO32" s="176"/>
      <c r="BPP32" s="176"/>
      <c r="BPQ32" s="176"/>
      <c r="BPR32" s="176"/>
      <c r="BPS32" s="179"/>
      <c r="BPT32" s="176"/>
      <c r="BPU32" s="176"/>
      <c r="BPV32" s="176"/>
      <c r="BPW32" s="176"/>
      <c r="BPX32" s="176"/>
      <c r="BPY32" s="178"/>
      <c r="BPZ32" s="176"/>
      <c r="BQA32" s="176"/>
      <c r="BQB32" s="176"/>
      <c r="BQC32" s="176"/>
      <c r="BQD32" s="176"/>
      <c r="BQE32" s="179"/>
      <c r="BQF32" s="176"/>
      <c r="BQG32" s="176"/>
      <c r="BQH32" s="176"/>
      <c r="BQI32" s="176"/>
      <c r="BQJ32" s="176"/>
      <c r="BQK32" s="180"/>
    </row>
    <row r="33" spans="1:1805" ht="20.100000000000001" customHeight="1" x14ac:dyDescent="0.25">
      <c r="A33" s="84" t="s">
        <v>19</v>
      </c>
      <c r="B33" s="53" t="str">
        <f>IF(LEN(C51)=0,"",C51)</f>
        <v>Doc - Relecture</v>
      </c>
      <c r="C33" s="228" t="s">
        <v>83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  <c r="BLV33" s="155"/>
      <c r="BLW33" s="156"/>
      <c r="BLX33" s="156"/>
      <c r="BLY33" s="156"/>
      <c r="BLZ33" s="156"/>
      <c r="BMA33" s="157"/>
      <c r="BMB33" s="156"/>
      <c r="BMC33" s="156"/>
      <c r="BMD33" s="156"/>
      <c r="BME33" s="156"/>
      <c r="BMF33" s="156"/>
      <c r="BMG33" s="158"/>
      <c r="BMH33" s="156"/>
      <c r="BMI33" s="156"/>
      <c r="BMJ33" s="156"/>
      <c r="BMK33" s="156"/>
      <c r="BML33" s="156"/>
      <c r="BMM33" s="159"/>
      <c r="BMN33" s="156"/>
      <c r="BMO33" s="156"/>
      <c r="BMP33" s="156"/>
      <c r="BMQ33" s="156"/>
      <c r="BMR33" s="156"/>
      <c r="BMS33" s="158"/>
      <c r="BMT33" s="156"/>
      <c r="BMU33" s="156"/>
      <c r="BMV33" s="156"/>
      <c r="BMW33" s="156"/>
      <c r="BMX33" s="156"/>
      <c r="BMY33" s="159"/>
      <c r="BMZ33" s="156"/>
      <c r="BNA33" s="156"/>
      <c r="BNB33" s="156"/>
      <c r="BNC33" s="156"/>
      <c r="BND33" s="156"/>
      <c r="BNE33" s="158"/>
      <c r="BNF33" s="156"/>
      <c r="BNG33" s="156"/>
      <c r="BNH33" s="156"/>
      <c r="BNI33" s="156"/>
      <c r="BNJ33" s="156"/>
      <c r="BNK33" s="159"/>
      <c r="BNL33" s="156"/>
      <c r="BNM33" s="156"/>
      <c r="BNN33" s="156"/>
      <c r="BNO33" s="156"/>
      <c r="BNP33" s="156"/>
      <c r="BNQ33" s="158"/>
      <c r="BNR33" s="156"/>
      <c r="BNS33" s="156"/>
      <c r="BNT33" s="156"/>
      <c r="BNU33" s="156"/>
      <c r="BNV33" s="156"/>
      <c r="BNW33" s="159"/>
      <c r="BNX33" s="156"/>
      <c r="BNY33" s="156"/>
      <c r="BNZ33" s="156"/>
      <c r="BOA33" s="156"/>
      <c r="BOB33" s="156"/>
      <c r="BOC33" s="160"/>
      <c r="BOD33" s="155"/>
      <c r="BOE33" s="156"/>
      <c r="BOF33" s="156"/>
      <c r="BOG33" s="156"/>
      <c r="BOH33" s="156"/>
      <c r="BOI33" s="157"/>
      <c r="BOJ33" s="156"/>
      <c r="BOK33" s="156"/>
      <c r="BOL33" s="156"/>
      <c r="BOM33" s="156"/>
      <c r="BON33" s="156"/>
      <c r="BOO33" s="158"/>
      <c r="BOP33" s="156"/>
      <c r="BOQ33" s="156"/>
      <c r="BOR33" s="156"/>
      <c r="BOS33" s="156"/>
      <c r="BOT33" s="156"/>
      <c r="BOU33" s="159"/>
      <c r="BOV33" s="156"/>
      <c r="BOW33" s="156"/>
      <c r="BOX33" s="156"/>
      <c r="BOY33" s="156"/>
      <c r="BOZ33" s="156"/>
      <c r="BPA33" s="158"/>
      <c r="BPB33" s="156"/>
      <c r="BPC33" s="156"/>
      <c r="BPD33" s="156"/>
      <c r="BPE33" s="156"/>
      <c r="BPF33" s="156"/>
      <c r="BPG33" s="159"/>
      <c r="BPH33" s="156"/>
      <c r="BPI33" s="156"/>
      <c r="BPJ33" s="156"/>
      <c r="BPK33" s="156"/>
      <c r="BPL33" s="156"/>
      <c r="BPM33" s="158"/>
      <c r="BPN33" s="156"/>
      <c r="BPO33" s="156"/>
      <c r="BPP33" s="156"/>
      <c r="BPQ33" s="156"/>
      <c r="BPR33" s="156"/>
      <c r="BPS33" s="159"/>
      <c r="BPT33" s="156"/>
      <c r="BPU33" s="156"/>
      <c r="BPV33" s="156"/>
      <c r="BPW33" s="156"/>
      <c r="BPX33" s="156"/>
      <c r="BPY33" s="158"/>
      <c r="BPZ33" s="156"/>
      <c r="BQA33" s="156"/>
      <c r="BQB33" s="156"/>
      <c r="BQC33" s="156"/>
      <c r="BQD33" s="156"/>
      <c r="BQE33" s="159"/>
      <c r="BQF33" s="156"/>
      <c r="BQG33" s="156"/>
      <c r="BQH33" s="156"/>
      <c r="BQI33" s="156"/>
      <c r="BQJ33" s="156"/>
      <c r="BQK33" s="160"/>
    </row>
    <row r="34" spans="1:1805" ht="20.100000000000001" customHeight="1" x14ac:dyDescent="0.3">
      <c r="A34" s="84" t="s">
        <v>20</v>
      </c>
      <c r="B34" s="53" t="str">
        <f>IF(LEN(C53)=0,"",C53)</f>
        <v>Doc - Mise au propre</v>
      </c>
      <c r="C34" s="229"/>
      <c r="D34" s="131" t="str">
        <f t="shared" si="0"/>
        <v>1h40min</v>
      </c>
      <c r="E34" s="30">
        <v>20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206"/>
      <c r="GX34" s="206"/>
      <c r="GY34" s="206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206"/>
      <c r="JL34" s="206"/>
      <c r="JM34" s="206"/>
      <c r="JN34" s="206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  <c r="BLV34" s="181"/>
      <c r="BLW34" s="182"/>
      <c r="BLX34" s="182"/>
      <c r="BLY34" s="182"/>
      <c r="BLZ34" s="182"/>
      <c r="BMA34" s="183"/>
      <c r="BMB34" s="182"/>
      <c r="BMC34" s="182"/>
      <c r="BMD34" s="182"/>
      <c r="BME34" s="182"/>
      <c r="BMF34" s="182"/>
      <c r="BMG34" s="184"/>
      <c r="BMH34" s="182"/>
      <c r="BMI34" s="182"/>
      <c r="BMJ34" s="182"/>
      <c r="BMK34" s="182"/>
      <c r="BML34" s="182"/>
      <c r="BMM34" s="185"/>
      <c r="BMN34" s="182"/>
      <c r="BMO34" s="182"/>
      <c r="BMP34" s="182"/>
      <c r="BMQ34" s="182"/>
      <c r="BMR34" s="182"/>
      <c r="BMS34" s="184"/>
      <c r="BMT34" s="182"/>
      <c r="BMU34" s="182"/>
      <c r="BMV34" s="182"/>
      <c r="BMW34" s="182"/>
      <c r="BMX34" s="182"/>
      <c r="BMY34" s="185"/>
      <c r="BMZ34" s="182"/>
      <c r="BNA34" s="182"/>
      <c r="BNB34" s="182"/>
      <c r="BNC34" s="182"/>
      <c r="BND34" s="182"/>
      <c r="BNE34" s="184"/>
      <c r="BNF34" s="182"/>
      <c r="BNG34" s="182"/>
      <c r="BNH34" s="182"/>
      <c r="BNI34" s="182"/>
      <c r="BNJ34" s="182"/>
      <c r="BNK34" s="185"/>
      <c r="BNL34" s="182"/>
      <c r="BNM34" s="182"/>
      <c r="BNN34" s="182"/>
      <c r="BNO34" s="182"/>
      <c r="BNP34" s="182"/>
      <c r="BNQ34" s="184"/>
      <c r="BNR34" s="182"/>
      <c r="BNS34" s="182"/>
      <c r="BNT34" s="182"/>
      <c r="BNU34" s="182"/>
      <c r="BNV34" s="182"/>
      <c r="BNW34" s="185"/>
      <c r="BNX34" s="182"/>
      <c r="BNY34" s="182"/>
      <c r="BNZ34" s="182"/>
      <c r="BOA34" s="182"/>
      <c r="BOB34" s="182"/>
      <c r="BOC34" s="186"/>
      <c r="BOD34" s="181"/>
      <c r="BOE34" s="182"/>
      <c r="BOF34" s="182"/>
      <c r="BOG34" s="182"/>
      <c r="BOH34" s="182"/>
      <c r="BOI34" s="183"/>
      <c r="BOJ34" s="182"/>
      <c r="BOK34" s="182"/>
      <c r="BOL34" s="182"/>
      <c r="BOM34" s="182"/>
      <c r="BON34" s="182"/>
      <c r="BOO34" s="184"/>
      <c r="BOP34" s="182"/>
      <c r="BOQ34" s="182"/>
      <c r="BOR34" s="182"/>
      <c r="BOS34" s="182"/>
      <c r="BOT34" s="182"/>
      <c r="BOU34" s="185"/>
      <c r="BOV34" s="182"/>
      <c r="BOW34" s="182"/>
      <c r="BOX34" s="182"/>
      <c r="BOY34" s="182"/>
      <c r="BOZ34" s="182"/>
      <c r="BPA34" s="184"/>
      <c r="BPB34" s="182"/>
      <c r="BPC34" s="182"/>
      <c r="BPD34" s="182"/>
      <c r="BPE34" s="182"/>
      <c r="BPF34" s="182"/>
      <c r="BPG34" s="185"/>
      <c r="BPH34" s="182"/>
      <c r="BPI34" s="182"/>
      <c r="BPJ34" s="182"/>
      <c r="BPK34" s="182"/>
      <c r="BPL34" s="182"/>
      <c r="BPM34" s="184"/>
      <c r="BPN34" s="182"/>
      <c r="BPO34" s="182"/>
      <c r="BPP34" s="182"/>
      <c r="BPQ34" s="182"/>
      <c r="BPR34" s="182"/>
      <c r="BPS34" s="185"/>
      <c r="BPT34" s="182"/>
      <c r="BPU34" s="182"/>
      <c r="BPV34" s="182"/>
      <c r="BPW34" s="182"/>
      <c r="BPX34" s="182"/>
      <c r="BPY34" s="184"/>
      <c r="BPZ34" s="182"/>
      <c r="BQA34" s="182"/>
      <c r="BQB34" s="182"/>
      <c r="BQC34" s="182"/>
      <c r="BQD34" s="182"/>
      <c r="BQE34" s="185"/>
      <c r="BQF34" s="182"/>
      <c r="BQG34" s="182"/>
      <c r="BQH34" s="182"/>
      <c r="BQI34" s="182"/>
      <c r="BQJ34" s="182"/>
      <c r="BQK34" s="186"/>
    </row>
    <row r="35" spans="1:1805" ht="20.100000000000001" customHeight="1" x14ac:dyDescent="0.25">
      <c r="A35" s="84" t="s">
        <v>19</v>
      </c>
      <c r="B35" s="53" t="str">
        <f>IF(LEN(C55)=0,"",C55)</f>
        <v>Autre</v>
      </c>
      <c r="C35" s="228" t="s">
        <v>84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  <c r="BLV35" s="161"/>
      <c r="BLW35" s="162"/>
      <c r="BLX35" s="162"/>
      <c r="BLY35" s="162"/>
      <c r="BLZ35" s="162"/>
      <c r="BMA35" s="163"/>
      <c r="BMB35" s="162"/>
      <c r="BMC35" s="162"/>
      <c r="BMD35" s="162"/>
      <c r="BME35" s="162"/>
      <c r="BMF35" s="162"/>
      <c r="BMG35" s="164"/>
      <c r="BMH35" s="162"/>
      <c r="BMI35" s="162"/>
      <c r="BMJ35" s="162"/>
      <c r="BMK35" s="162"/>
      <c r="BML35" s="162"/>
      <c r="BMM35" s="165"/>
      <c r="BMN35" s="162"/>
      <c r="BMO35" s="162"/>
      <c r="BMP35" s="162"/>
      <c r="BMQ35" s="162"/>
      <c r="BMR35" s="162"/>
      <c r="BMS35" s="164"/>
      <c r="BMT35" s="162"/>
      <c r="BMU35" s="162"/>
      <c r="BMV35" s="162"/>
      <c r="BMW35" s="162"/>
      <c r="BMX35" s="162"/>
      <c r="BMY35" s="165"/>
      <c r="BMZ35" s="162"/>
      <c r="BNA35" s="162"/>
      <c r="BNB35" s="162"/>
      <c r="BNC35" s="162"/>
      <c r="BND35" s="162"/>
      <c r="BNE35" s="164"/>
      <c r="BNF35" s="162"/>
      <c r="BNG35" s="162"/>
      <c r="BNH35" s="162"/>
      <c r="BNI35" s="162"/>
      <c r="BNJ35" s="162"/>
      <c r="BNK35" s="165"/>
      <c r="BNL35" s="162"/>
      <c r="BNM35" s="162"/>
      <c r="BNN35" s="162"/>
      <c r="BNO35" s="162"/>
      <c r="BNP35" s="162"/>
      <c r="BNQ35" s="164"/>
      <c r="BNR35" s="162"/>
      <c r="BNS35" s="162"/>
      <c r="BNT35" s="162"/>
      <c r="BNU35" s="162"/>
      <c r="BNV35" s="162"/>
      <c r="BNW35" s="165"/>
      <c r="BNX35" s="162"/>
      <c r="BNY35" s="162"/>
      <c r="BNZ35" s="162"/>
      <c r="BOA35" s="162"/>
      <c r="BOB35" s="162"/>
      <c r="BOC35" s="166"/>
      <c r="BOD35" s="161"/>
      <c r="BOE35" s="162"/>
      <c r="BOF35" s="162"/>
      <c r="BOG35" s="162"/>
      <c r="BOH35" s="162"/>
      <c r="BOI35" s="163"/>
      <c r="BOJ35" s="162"/>
      <c r="BOK35" s="162"/>
      <c r="BOL35" s="162"/>
      <c r="BOM35" s="162"/>
      <c r="BON35" s="162"/>
      <c r="BOO35" s="164"/>
      <c r="BOP35" s="162"/>
      <c r="BOQ35" s="162"/>
      <c r="BOR35" s="162"/>
      <c r="BOS35" s="162"/>
      <c r="BOT35" s="162"/>
      <c r="BOU35" s="165"/>
      <c r="BOV35" s="162"/>
      <c r="BOW35" s="162"/>
      <c r="BOX35" s="162"/>
      <c r="BOY35" s="162"/>
      <c r="BOZ35" s="162"/>
      <c r="BPA35" s="164"/>
      <c r="BPB35" s="162"/>
      <c r="BPC35" s="162"/>
      <c r="BPD35" s="162"/>
      <c r="BPE35" s="162"/>
      <c r="BPF35" s="162"/>
      <c r="BPG35" s="165"/>
      <c r="BPH35" s="162"/>
      <c r="BPI35" s="162"/>
      <c r="BPJ35" s="162"/>
      <c r="BPK35" s="162"/>
      <c r="BPL35" s="162"/>
      <c r="BPM35" s="164"/>
      <c r="BPN35" s="162"/>
      <c r="BPO35" s="162"/>
      <c r="BPP35" s="162"/>
      <c r="BPQ35" s="162"/>
      <c r="BPR35" s="162"/>
      <c r="BPS35" s="165"/>
      <c r="BPT35" s="162"/>
      <c r="BPU35" s="162"/>
      <c r="BPV35" s="162"/>
      <c r="BPW35" s="162"/>
      <c r="BPX35" s="162"/>
      <c r="BPY35" s="164"/>
      <c r="BPZ35" s="162"/>
      <c r="BQA35" s="162"/>
      <c r="BQB35" s="162"/>
      <c r="BQC35" s="162"/>
      <c r="BQD35" s="162"/>
      <c r="BQE35" s="165"/>
      <c r="BQF35" s="162"/>
      <c r="BQG35" s="162"/>
      <c r="BQH35" s="162"/>
      <c r="BQI35" s="162"/>
      <c r="BQJ35" s="162"/>
      <c r="BQK35" s="166"/>
    </row>
    <row r="36" spans="1:1805" ht="20.100000000000001" customHeight="1" x14ac:dyDescent="0.25">
      <c r="A36" s="84" t="s">
        <v>20</v>
      </c>
      <c r="B36" s="53" t="str">
        <f>IF(LEN(C57)=0,"",C57)</f>
        <v/>
      </c>
      <c r="C36" s="229"/>
      <c r="D36" s="130" t="str">
        <f t="shared" si="0"/>
        <v>0h50min</v>
      </c>
      <c r="E36" s="22">
        <v>10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205"/>
      <c r="JU36" s="210"/>
      <c r="JV36" s="205"/>
      <c r="JW36" s="205"/>
      <c r="JX36" s="205"/>
      <c r="JY36" s="205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205"/>
      <c r="KV36" s="205"/>
      <c r="KW36" s="205"/>
      <c r="KX36" s="205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  <c r="BLV36" s="175"/>
      <c r="BLW36" s="176"/>
      <c r="BLX36" s="176"/>
      <c r="BLY36" s="176"/>
      <c r="BLZ36" s="176"/>
      <c r="BMA36" s="177"/>
      <c r="BMB36" s="176"/>
      <c r="BMC36" s="176"/>
      <c r="BMD36" s="176"/>
      <c r="BME36" s="176"/>
      <c r="BMF36" s="176"/>
      <c r="BMG36" s="178"/>
      <c r="BMH36" s="176"/>
      <c r="BMI36" s="176"/>
      <c r="BMJ36" s="176"/>
      <c r="BMK36" s="176"/>
      <c r="BML36" s="176"/>
      <c r="BMM36" s="179"/>
      <c r="BMN36" s="176"/>
      <c r="BMO36" s="176"/>
      <c r="BMP36" s="176"/>
      <c r="BMQ36" s="176"/>
      <c r="BMR36" s="176"/>
      <c r="BMS36" s="178"/>
      <c r="BMT36" s="176"/>
      <c r="BMU36" s="176"/>
      <c r="BMV36" s="176"/>
      <c r="BMW36" s="176"/>
      <c r="BMX36" s="176"/>
      <c r="BMY36" s="179"/>
      <c r="BMZ36" s="176"/>
      <c r="BNA36" s="176"/>
      <c r="BNB36" s="176"/>
      <c r="BNC36" s="176"/>
      <c r="BND36" s="176"/>
      <c r="BNE36" s="178"/>
      <c r="BNF36" s="176"/>
      <c r="BNG36" s="176"/>
      <c r="BNH36" s="176"/>
      <c r="BNI36" s="176"/>
      <c r="BNJ36" s="176"/>
      <c r="BNK36" s="179"/>
      <c r="BNL36" s="176"/>
      <c r="BNM36" s="176"/>
      <c r="BNN36" s="176"/>
      <c r="BNO36" s="176"/>
      <c r="BNP36" s="176"/>
      <c r="BNQ36" s="178"/>
      <c r="BNR36" s="176"/>
      <c r="BNS36" s="176"/>
      <c r="BNT36" s="176"/>
      <c r="BNU36" s="176"/>
      <c r="BNV36" s="176"/>
      <c r="BNW36" s="179"/>
      <c r="BNX36" s="176"/>
      <c r="BNY36" s="176"/>
      <c r="BNZ36" s="176"/>
      <c r="BOA36" s="176"/>
      <c r="BOB36" s="176"/>
      <c r="BOC36" s="180"/>
      <c r="BOD36" s="175"/>
      <c r="BOE36" s="176"/>
      <c r="BOF36" s="176"/>
      <c r="BOG36" s="176"/>
      <c r="BOH36" s="176"/>
      <c r="BOI36" s="177"/>
      <c r="BOJ36" s="176"/>
      <c r="BOK36" s="176"/>
      <c r="BOL36" s="176"/>
      <c r="BOM36" s="176"/>
      <c r="BON36" s="176"/>
      <c r="BOO36" s="178"/>
      <c r="BOP36" s="176"/>
      <c r="BOQ36" s="176"/>
      <c r="BOR36" s="176"/>
      <c r="BOS36" s="176"/>
      <c r="BOT36" s="176"/>
      <c r="BOU36" s="179"/>
      <c r="BOV36" s="176"/>
      <c r="BOW36" s="176"/>
      <c r="BOX36" s="176"/>
      <c r="BOY36" s="176"/>
      <c r="BOZ36" s="176"/>
      <c r="BPA36" s="178"/>
      <c r="BPB36" s="176"/>
      <c r="BPC36" s="176"/>
      <c r="BPD36" s="176"/>
      <c r="BPE36" s="176"/>
      <c r="BPF36" s="176"/>
      <c r="BPG36" s="179"/>
      <c r="BPH36" s="176"/>
      <c r="BPI36" s="176"/>
      <c r="BPJ36" s="176"/>
      <c r="BPK36" s="176"/>
      <c r="BPL36" s="176"/>
      <c r="BPM36" s="178"/>
      <c r="BPN36" s="176"/>
      <c r="BPO36" s="176"/>
      <c r="BPP36" s="176"/>
      <c r="BPQ36" s="176"/>
      <c r="BPR36" s="176"/>
      <c r="BPS36" s="179"/>
      <c r="BPT36" s="176"/>
      <c r="BPU36" s="176"/>
      <c r="BPV36" s="176"/>
      <c r="BPW36" s="176"/>
      <c r="BPX36" s="176"/>
      <c r="BPY36" s="178"/>
      <c r="BPZ36" s="176"/>
      <c r="BQA36" s="176"/>
      <c r="BQB36" s="176"/>
      <c r="BQC36" s="176"/>
      <c r="BQD36" s="176"/>
      <c r="BQE36" s="179"/>
      <c r="BQF36" s="176"/>
      <c r="BQG36" s="176"/>
      <c r="BQH36" s="176"/>
      <c r="BQI36" s="176"/>
      <c r="BQJ36" s="176"/>
      <c r="BQK36" s="180"/>
    </row>
    <row r="37" spans="1:1805" ht="20.100000000000001" customHeight="1" x14ac:dyDescent="0.25">
      <c r="A37" s="84" t="s">
        <v>19</v>
      </c>
      <c r="B37" s="53" t="str">
        <f>IF(LEN(C59)=0,"",C59)</f>
        <v/>
      </c>
      <c r="C37" s="228" t="s">
        <v>85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  <c r="BLV37" s="155"/>
      <c r="BLW37" s="156"/>
      <c r="BLX37" s="156"/>
      <c r="BLY37" s="156"/>
      <c r="BLZ37" s="156"/>
      <c r="BMA37" s="157"/>
      <c r="BMB37" s="156"/>
      <c r="BMC37" s="156"/>
      <c r="BMD37" s="156"/>
      <c r="BME37" s="156"/>
      <c r="BMF37" s="156"/>
      <c r="BMG37" s="158"/>
      <c r="BMH37" s="156"/>
      <c r="BMI37" s="156"/>
      <c r="BMJ37" s="156"/>
      <c r="BMK37" s="156"/>
      <c r="BML37" s="156"/>
      <c r="BMM37" s="159"/>
      <c r="BMN37" s="156"/>
      <c r="BMO37" s="156"/>
      <c r="BMP37" s="156"/>
      <c r="BMQ37" s="156"/>
      <c r="BMR37" s="156"/>
      <c r="BMS37" s="158"/>
      <c r="BMT37" s="156"/>
      <c r="BMU37" s="156"/>
      <c r="BMV37" s="156"/>
      <c r="BMW37" s="156"/>
      <c r="BMX37" s="156"/>
      <c r="BMY37" s="159"/>
      <c r="BMZ37" s="156"/>
      <c r="BNA37" s="156"/>
      <c r="BNB37" s="156"/>
      <c r="BNC37" s="156"/>
      <c r="BND37" s="156"/>
      <c r="BNE37" s="158"/>
      <c r="BNF37" s="156"/>
      <c r="BNG37" s="156"/>
      <c r="BNH37" s="156"/>
      <c r="BNI37" s="156"/>
      <c r="BNJ37" s="156"/>
      <c r="BNK37" s="159"/>
      <c r="BNL37" s="156"/>
      <c r="BNM37" s="156"/>
      <c r="BNN37" s="156"/>
      <c r="BNO37" s="156"/>
      <c r="BNP37" s="156"/>
      <c r="BNQ37" s="158"/>
      <c r="BNR37" s="156"/>
      <c r="BNS37" s="156"/>
      <c r="BNT37" s="156"/>
      <c r="BNU37" s="156"/>
      <c r="BNV37" s="156"/>
      <c r="BNW37" s="159"/>
      <c r="BNX37" s="156"/>
      <c r="BNY37" s="156"/>
      <c r="BNZ37" s="156"/>
      <c r="BOA37" s="156"/>
      <c r="BOB37" s="156"/>
      <c r="BOC37" s="160"/>
      <c r="BOD37" s="155"/>
      <c r="BOE37" s="156"/>
      <c r="BOF37" s="156"/>
      <c r="BOG37" s="156"/>
      <c r="BOH37" s="156"/>
      <c r="BOI37" s="157"/>
      <c r="BOJ37" s="156"/>
      <c r="BOK37" s="156"/>
      <c r="BOL37" s="156"/>
      <c r="BOM37" s="156"/>
      <c r="BON37" s="156"/>
      <c r="BOO37" s="158"/>
      <c r="BOP37" s="156"/>
      <c r="BOQ37" s="156"/>
      <c r="BOR37" s="156"/>
      <c r="BOS37" s="156"/>
      <c r="BOT37" s="156"/>
      <c r="BOU37" s="159"/>
      <c r="BOV37" s="156"/>
      <c r="BOW37" s="156"/>
      <c r="BOX37" s="156"/>
      <c r="BOY37" s="156"/>
      <c r="BOZ37" s="156"/>
      <c r="BPA37" s="158"/>
      <c r="BPB37" s="156"/>
      <c r="BPC37" s="156"/>
      <c r="BPD37" s="156"/>
      <c r="BPE37" s="156"/>
      <c r="BPF37" s="156"/>
      <c r="BPG37" s="159"/>
      <c r="BPH37" s="156"/>
      <c r="BPI37" s="156"/>
      <c r="BPJ37" s="156"/>
      <c r="BPK37" s="156"/>
      <c r="BPL37" s="156"/>
      <c r="BPM37" s="158"/>
      <c r="BPN37" s="156"/>
      <c r="BPO37" s="156"/>
      <c r="BPP37" s="156"/>
      <c r="BPQ37" s="156"/>
      <c r="BPR37" s="156"/>
      <c r="BPS37" s="159"/>
      <c r="BPT37" s="156"/>
      <c r="BPU37" s="156"/>
      <c r="BPV37" s="156"/>
      <c r="BPW37" s="156"/>
      <c r="BPX37" s="156"/>
      <c r="BPY37" s="158"/>
      <c r="BPZ37" s="156"/>
      <c r="BQA37" s="156"/>
      <c r="BQB37" s="156"/>
      <c r="BQC37" s="156"/>
      <c r="BQD37" s="156"/>
      <c r="BQE37" s="159"/>
      <c r="BQF37" s="156"/>
      <c r="BQG37" s="156"/>
      <c r="BQH37" s="156"/>
      <c r="BQI37" s="156"/>
      <c r="BQJ37" s="156"/>
      <c r="BQK37" s="160"/>
    </row>
    <row r="38" spans="1:1805" ht="20.100000000000001" customHeight="1" x14ac:dyDescent="0.3">
      <c r="A38" s="84" t="s">
        <v>20</v>
      </c>
      <c r="B38" s="53"/>
      <c r="C38" s="229"/>
      <c r="D38" s="131" t="str">
        <f t="shared" si="0"/>
        <v>12h35min</v>
      </c>
      <c r="E38" s="30">
        <v>151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207"/>
      <c r="KZ38" s="206"/>
      <c r="LA38" s="206"/>
      <c r="LB38" s="206"/>
      <c r="LC38" s="206"/>
      <c r="LD38" s="206"/>
      <c r="LE38" s="208"/>
      <c r="LF38" s="206"/>
      <c r="LG38" s="206"/>
      <c r="LH38" s="206"/>
      <c r="LI38" s="206"/>
      <c r="LJ38" s="206"/>
      <c r="LK38" s="209"/>
      <c r="LL38" s="206"/>
      <c r="LM38" s="206"/>
      <c r="LN38" s="206"/>
      <c r="LO38" s="206"/>
      <c r="LP38" s="206"/>
      <c r="LQ38" s="208"/>
      <c r="LR38" s="206"/>
      <c r="LS38" s="206"/>
      <c r="LT38" s="206"/>
      <c r="LU38" s="206"/>
      <c r="LV38" s="206"/>
      <c r="LW38" s="209"/>
      <c r="LX38" s="206"/>
      <c r="LY38" s="206"/>
      <c r="LZ38" s="206"/>
      <c r="MA38" s="206"/>
      <c r="MB38" s="206"/>
      <c r="MC38" s="208"/>
      <c r="MD38" s="206"/>
      <c r="ME38" s="206"/>
      <c r="MF38" s="206"/>
      <c r="MG38" s="206"/>
      <c r="MH38" s="206"/>
      <c r="MI38" s="209"/>
      <c r="MJ38" s="206"/>
      <c r="MK38" s="206"/>
      <c r="ML38" s="206"/>
      <c r="MM38" s="206"/>
      <c r="MN38" s="206"/>
      <c r="MO38" s="208"/>
      <c r="MP38" s="206"/>
      <c r="MQ38" s="206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206"/>
      <c r="NE38" s="206"/>
      <c r="NF38" s="206"/>
      <c r="NG38" s="207"/>
      <c r="NH38" s="206"/>
      <c r="NI38" s="206"/>
      <c r="NJ38" s="206"/>
      <c r="NK38" s="206"/>
      <c r="NL38" s="206"/>
      <c r="NM38" s="208"/>
      <c r="NN38" s="206"/>
      <c r="NO38" s="206"/>
      <c r="NP38" s="206"/>
      <c r="NQ38" s="206"/>
      <c r="NR38" s="206"/>
      <c r="NS38" s="209"/>
      <c r="NT38" s="206"/>
      <c r="NU38" s="206"/>
      <c r="NV38" s="206"/>
      <c r="NW38" s="206"/>
      <c r="NX38" s="206"/>
      <c r="NY38" s="208"/>
      <c r="NZ38" s="206"/>
      <c r="OA38" s="206"/>
      <c r="OB38" s="206"/>
      <c r="OC38" s="206"/>
      <c r="OD38" s="206"/>
      <c r="OE38" s="209"/>
      <c r="OF38" s="206"/>
      <c r="OG38" s="206"/>
      <c r="OH38" s="206"/>
      <c r="OI38" s="206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212"/>
      <c r="PK38" s="206"/>
      <c r="PL38" s="206"/>
      <c r="PM38" s="206"/>
      <c r="PN38" s="206"/>
      <c r="PO38" s="207"/>
      <c r="PP38" s="206"/>
      <c r="PQ38" s="206"/>
      <c r="PR38" s="206"/>
      <c r="PS38" s="206"/>
      <c r="PT38" s="206"/>
      <c r="PU38" s="208"/>
      <c r="PV38" s="206"/>
      <c r="PW38" s="206"/>
      <c r="PX38" s="206"/>
      <c r="PY38" s="206"/>
      <c r="PZ38" s="206"/>
      <c r="QA38" s="209"/>
      <c r="QB38" s="206"/>
      <c r="QC38" s="206"/>
      <c r="QD38" s="206"/>
      <c r="QE38" s="206"/>
      <c r="QF38" s="206"/>
      <c r="QG38" s="208"/>
      <c r="QH38" s="206"/>
      <c r="QI38" s="206"/>
      <c r="QJ38" s="206"/>
      <c r="QK38" s="206"/>
      <c r="QL38" s="206"/>
      <c r="QM38" s="209"/>
      <c r="QN38" s="206"/>
      <c r="QO38" s="206"/>
      <c r="QP38" s="206"/>
      <c r="QQ38" s="206"/>
      <c r="QR38" s="206"/>
      <c r="QS38" s="208"/>
      <c r="QT38" s="206"/>
      <c r="QU38" s="206"/>
      <c r="QV38" s="206"/>
      <c r="QW38" s="206"/>
      <c r="QX38" s="206"/>
      <c r="QY38" s="209"/>
      <c r="QZ38" s="206"/>
      <c r="RA38" s="206"/>
      <c r="RB38" s="206"/>
      <c r="RC38" s="206"/>
      <c r="RD38" s="206"/>
      <c r="RE38" s="208"/>
      <c r="RF38" s="206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207"/>
      <c r="RX38" s="206"/>
      <c r="RY38" s="206"/>
      <c r="RZ38" s="206"/>
      <c r="SA38" s="206"/>
      <c r="SB38" s="206"/>
      <c r="SC38" s="208"/>
      <c r="SD38" s="206"/>
      <c r="SE38" s="206"/>
      <c r="SF38" s="206"/>
      <c r="SG38" s="206"/>
      <c r="SH38" s="206"/>
      <c r="SI38" s="209"/>
      <c r="SJ38" s="206"/>
      <c r="SK38" s="206"/>
      <c r="SL38" s="206"/>
      <c r="SM38" s="206"/>
      <c r="SN38" s="206"/>
      <c r="SO38" s="208"/>
      <c r="SP38" s="206"/>
      <c r="SQ38" s="206"/>
      <c r="SR38" s="206"/>
      <c r="SS38" s="206"/>
      <c r="ST38" s="206"/>
      <c r="SU38" s="209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182"/>
      <c r="XJ38" s="182"/>
      <c r="XK38" s="185"/>
      <c r="XL38" s="182"/>
      <c r="XM38" s="182"/>
      <c r="XN38" s="182"/>
      <c r="XO38" s="182"/>
      <c r="XP38" s="182"/>
      <c r="XQ38" s="184"/>
      <c r="XR38" s="182"/>
      <c r="XS38" s="182"/>
      <c r="XT38" s="182"/>
      <c r="XU38" s="182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182"/>
      <c r="YX38" s="182"/>
      <c r="YY38" s="182"/>
      <c r="YZ38" s="182"/>
      <c r="ZA38" s="184"/>
      <c r="ZB38" s="182"/>
      <c r="ZC38" s="182"/>
      <c r="ZD38" s="182"/>
      <c r="ZE38" s="182"/>
      <c r="ZF38" s="182"/>
      <c r="ZG38" s="185"/>
      <c r="ZH38" s="182"/>
      <c r="ZI38" s="182"/>
      <c r="ZJ38" s="182"/>
      <c r="ZK38" s="182"/>
      <c r="ZL38" s="182"/>
      <c r="ZM38" s="184"/>
      <c r="ZN38" s="182"/>
      <c r="ZO38" s="182"/>
      <c r="ZP38" s="182"/>
      <c r="ZQ38" s="182"/>
      <c r="ZR38" s="182"/>
      <c r="ZS38" s="185"/>
      <c r="ZT38" s="182"/>
      <c r="ZU38" s="182"/>
      <c r="ZV38" s="182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181"/>
      <c r="AHW38" s="182"/>
      <c r="AHX38" s="182"/>
      <c r="AHY38" s="182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  <c r="BLV38" s="181"/>
      <c r="BLW38" s="182"/>
      <c r="BLX38" s="182"/>
      <c r="BLY38" s="182"/>
      <c r="BLZ38" s="182"/>
      <c r="BMA38" s="183"/>
      <c r="BMB38" s="182"/>
      <c r="BMC38" s="182"/>
      <c r="BMD38" s="182"/>
      <c r="BME38" s="182"/>
      <c r="BMF38" s="182"/>
      <c r="BMG38" s="184"/>
      <c r="BMH38" s="182"/>
      <c r="BMI38" s="182"/>
      <c r="BMJ38" s="182"/>
      <c r="BMK38" s="182"/>
      <c r="BML38" s="182"/>
      <c r="BMM38" s="185"/>
      <c r="BMN38" s="182"/>
      <c r="BMO38" s="182"/>
      <c r="BMP38" s="182"/>
      <c r="BMQ38" s="182"/>
      <c r="BMR38" s="182"/>
      <c r="BMS38" s="184"/>
      <c r="BMT38" s="182"/>
      <c r="BMU38" s="182"/>
      <c r="BMV38" s="182"/>
      <c r="BMW38" s="182"/>
      <c r="BMX38" s="182"/>
      <c r="BMY38" s="185"/>
      <c r="BMZ38" s="182"/>
      <c r="BNA38" s="182"/>
      <c r="BNB38" s="182"/>
      <c r="BNC38" s="182"/>
      <c r="BND38" s="182"/>
      <c r="BNE38" s="184"/>
      <c r="BNF38" s="182"/>
      <c r="BNG38" s="182"/>
      <c r="BNH38" s="182"/>
      <c r="BNI38" s="182"/>
      <c r="BNJ38" s="182"/>
      <c r="BNK38" s="185"/>
      <c r="BNL38" s="182"/>
      <c r="BNM38" s="182"/>
      <c r="BNN38" s="182"/>
      <c r="BNO38" s="182"/>
      <c r="BNP38" s="182"/>
      <c r="BNQ38" s="184"/>
      <c r="BNR38" s="182"/>
      <c r="BNS38" s="182"/>
      <c r="BNT38" s="182"/>
      <c r="BNU38" s="182"/>
      <c r="BNV38" s="182"/>
      <c r="BNW38" s="185"/>
      <c r="BNX38" s="182"/>
      <c r="BNY38" s="182"/>
      <c r="BNZ38" s="182"/>
      <c r="BOA38" s="182"/>
      <c r="BOB38" s="182"/>
      <c r="BOC38" s="186"/>
      <c r="BOD38" s="181"/>
      <c r="BOE38" s="182"/>
      <c r="BOF38" s="182"/>
      <c r="BOG38" s="182"/>
      <c r="BOH38" s="182"/>
      <c r="BOI38" s="183"/>
      <c r="BOJ38" s="182"/>
      <c r="BOK38" s="182"/>
      <c r="BOL38" s="182"/>
      <c r="BOM38" s="182"/>
      <c r="BON38" s="182"/>
      <c r="BOO38" s="184"/>
      <c r="BOP38" s="182"/>
      <c r="BOQ38" s="182"/>
      <c r="BOR38" s="182"/>
      <c r="BOS38" s="182"/>
      <c r="BOT38" s="182"/>
      <c r="BOU38" s="185"/>
      <c r="BOV38" s="182"/>
      <c r="BOW38" s="182"/>
      <c r="BOX38" s="182"/>
      <c r="BOY38" s="182"/>
      <c r="BOZ38" s="182"/>
      <c r="BPA38" s="184"/>
      <c r="BPB38" s="182"/>
      <c r="BPC38" s="182"/>
      <c r="BPD38" s="182"/>
      <c r="BPE38" s="182"/>
      <c r="BPF38" s="182"/>
      <c r="BPG38" s="185"/>
      <c r="BPH38" s="182"/>
      <c r="BPI38" s="182"/>
      <c r="BPJ38" s="182"/>
      <c r="BPK38" s="182"/>
      <c r="BPL38" s="182"/>
      <c r="BPM38" s="184"/>
      <c r="BPN38" s="182"/>
      <c r="BPO38" s="182"/>
      <c r="BPP38" s="182"/>
      <c r="BPQ38" s="182"/>
      <c r="BPR38" s="182"/>
      <c r="BPS38" s="185"/>
      <c r="BPT38" s="182"/>
      <c r="BPU38" s="182"/>
      <c r="BPV38" s="182"/>
      <c r="BPW38" s="182"/>
      <c r="BPX38" s="182"/>
      <c r="BPY38" s="184"/>
      <c r="BPZ38" s="182"/>
      <c r="BQA38" s="182"/>
      <c r="BQB38" s="182"/>
      <c r="BQC38" s="182"/>
      <c r="BQD38" s="182"/>
      <c r="BQE38" s="185"/>
      <c r="BQF38" s="182"/>
      <c r="BQG38" s="182"/>
      <c r="BQH38" s="182"/>
      <c r="BQI38" s="182"/>
      <c r="BQJ38" s="182"/>
      <c r="BQK38" s="186"/>
    </row>
    <row r="39" spans="1:1805" ht="20.100000000000001" customHeight="1" x14ac:dyDescent="0.25">
      <c r="A39" s="84" t="s">
        <v>19</v>
      </c>
      <c r="B39" s="53"/>
      <c r="C39" s="228" t="s">
        <v>86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  <c r="BLV39" s="161"/>
      <c r="BLW39" s="162"/>
      <c r="BLX39" s="162"/>
      <c r="BLY39" s="162"/>
      <c r="BLZ39" s="162"/>
      <c r="BMA39" s="163"/>
      <c r="BMB39" s="162"/>
      <c r="BMC39" s="162"/>
      <c r="BMD39" s="162"/>
      <c r="BME39" s="162"/>
      <c r="BMF39" s="162"/>
      <c r="BMG39" s="164"/>
      <c r="BMH39" s="162"/>
      <c r="BMI39" s="162"/>
      <c r="BMJ39" s="162"/>
      <c r="BMK39" s="162"/>
      <c r="BML39" s="162"/>
      <c r="BMM39" s="165"/>
      <c r="BMN39" s="162"/>
      <c r="BMO39" s="162"/>
      <c r="BMP39" s="162"/>
      <c r="BMQ39" s="162"/>
      <c r="BMR39" s="162"/>
      <c r="BMS39" s="164"/>
      <c r="BMT39" s="162"/>
      <c r="BMU39" s="162"/>
      <c r="BMV39" s="162"/>
      <c r="BMW39" s="162"/>
      <c r="BMX39" s="162"/>
      <c r="BMY39" s="165"/>
      <c r="BMZ39" s="162"/>
      <c r="BNA39" s="162"/>
      <c r="BNB39" s="162"/>
      <c r="BNC39" s="162"/>
      <c r="BND39" s="162"/>
      <c r="BNE39" s="164"/>
      <c r="BNF39" s="162"/>
      <c r="BNG39" s="162"/>
      <c r="BNH39" s="162"/>
      <c r="BNI39" s="162"/>
      <c r="BNJ39" s="162"/>
      <c r="BNK39" s="165"/>
      <c r="BNL39" s="162"/>
      <c r="BNM39" s="162"/>
      <c r="BNN39" s="162"/>
      <c r="BNO39" s="162"/>
      <c r="BNP39" s="162"/>
      <c r="BNQ39" s="164"/>
      <c r="BNR39" s="162"/>
      <c r="BNS39" s="162"/>
      <c r="BNT39" s="162"/>
      <c r="BNU39" s="162"/>
      <c r="BNV39" s="162"/>
      <c r="BNW39" s="165"/>
      <c r="BNX39" s="162"/>
      <c r="BNY39" s="162"/>
      <c r="BNZ39" s="162"/>
      <c r="BOA39" s="162"/>
      <c r="BOB39" s="162"/>
      <c r="BOC39" s="166"/>
      <c r="BOD39" s="161"/>
      <c r="BOE39" s="162"/>
      <c r="BOF39" s="162"/>
      <c r="BOG39" s="162"/>
      <c r="BOH39" s="162"/>
      <c r="BOI39" s="163"/>
      <c r="BOJ39" s="162"/>
      <c r="BOK39" s="162"/>
      <c r="BOL39" s="162"/>
      <c r="BOM39" s="162"/>
      <c r="BON39" s="162"/>
      <c r="BOO39" s="164"/>
      <c r="BOP39" s="162"/>
      <c r="BOQ39" s="162"/>
      <c r="BOR39" s="162"/>
      <c r="BOS39" s="162"/>
      <c r="BOT39" s="162"/>
      <c r="BOU39" s="165"/>
      <c r="BOV39" s="162"/>
      <c r="BOW39" s="162"/>
      <c r="BOX39" s="162"/>
      <c r="BOY39" s="162"/>
      <c r="BOZ39" s="162"/>
      <c r="BPA39" s="164"/>
      <c r="BPB39" s="162"/>
      <c r="BPC39" s="162"/>
      <c r="BPD39" s="162"/>
      <c r="BPE39" s="162"/>
      <c r="BPF39" s="162"/>
      <c r="BPG39" s="165"/>
      <c r="BPH39" s="162"/>
      <c r="BPI39" s="162"/>
      <c r="BPJ39" s="162"/>
      <c r="BPK39" s="162"/>
      <c r="BPL39" s="162"/>
      <c r="BPM39" s="164"/>
      <c r="BPN39" s="162"/>
      <c r="BPO39" s="162"/>
      <c r="BPP39" s="162"/>
      <c r="BPQ39" s="162"/>
      <c r="BPR39" s="162"/>
      <c r="BPS39" s="165"/>
      <c r="BPT39" s="162"/>
      <c r="BPU39" s="162"/>
      <c r="BPV39" s="162"/>
      <c r="BPW39" s="162"/>
      <c r="BPX39" s="162"/>
      <c r="BPY39" s="164"/>
      <c r="BPZ39" s="162"/>
      <c r="BQA39" s="162"/>
      <c r="BQB39" s="162"/>
      <c r="BQC39" s="162"/>
      <c r="BQD39" s="162"/>
      <c r="BQE39" s="165"/>
      <c r="BQF39" s="162"/>
      <c r="BQG39" s="162"/>
      <c r="BQH39" s="162"/>
      <c r="BQI39" s="162"/>
      <c r="BQJ39" s="162"/>
      <c r="BQK39" s="166"/>
    </row>
    <row r="40" spans="1:1805" ht="20.100000000000001" customHeight="1" x14ac:dyDescent="0.25">
      <c r="A40" s="84" t="s">
        <v>20</v>
      </c>
      <c r="B40" s="53"/>
      <c r="C40" s="229"/>
      <c r="D40" s="130" t="str">
        <f t="shared" si="0"/>
        <v>0h</v>
      </c>
      <c r="E40" s="22">
        <v>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176"/>
      <c r="ABK40" s="176"/>
      <c r="ABL40" s="176"/>
      <c r="ABM40" s="176"/>
      <c r="ABN40" s="176"/>
      <c r="ABO40" s="179"/>
      <c r="ABP40" s="176"/>
      <c r="ABQ40" s="176"/>
      <c r="ABR40" s="176"/>
      <c r="ABS40" s="176"/>
      <c r="ABT40" s="176"/>
      <c r="ABU40" s="178"/>
      <c r="ABV40" s="176"/>
      <c r="ABW40" s="176"/>
      <c r="ABX40" s="176"/>
      <c r="ABY40" s="176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176"/>
      <c r="ADJ40" s="176"/>
      <c r="ADK40" s="177"/>
      <c r="ADL40" s="176"/>
      <c r="ADM40" s="176"/>
      <c r="ADN40" s="176"/>
      <c r="ADO40" s="176"/>
      <c r="ADP40" s="176"/>
      <c r="ADQ40" s="178"/>
      <c r="ADR40" s="176"/>
      <c r="ADS40" s="176"/>
      <c r="ADT40" s="176"/>
      <c r="ADU40" s="176"/>
      <c r="ADV40" s="176"/>
      <c r="ADW40" s="179"/>
      <c r="ADX40" s="176"/>
      <c r="ADY40" s="176"/>
      <c r="ADZ40" s="176"/>
      <c r="AEA40" s="176"/>
      <c r="AEB40" s="176"/>
      <c r="AEC40" s="178"/>
      <c r="AED40" s="176"/>
      <c r="AEE40" s="176"/>
      <c r="AEF40" s="176"/>
      <c r="AEG40" s="176"/>
      <c r="AEH40" s="176"/>
      <c r="AEI40" s="179"/>
      <c r="AEJ40" s="176"/>
      <c r="AEK40" s="176"/>
      <c r="AEL40" s="176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176"/>
      <c r="AGC40" s="176"/>
      <c r="AGD40" s="176"/>
      <c r="AGE40" s="179"/>
      <c r="AGF40" s="176"/>
      <c r="AGG40" s="176"/>
      <c r="AGH40" s="176"/>
      <c r="AGI40" s="176"/>
      <c r="AGJ40" s="176"/>
      <c r="AGK40" s="178"/>
      <c r="AGL40" s="176"/>
      <c r="AGM40" s="176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176"/>
      <c r="AIA40" s="177"/>
      <c r="AIB40" s="176"/>
      <c r="AIC40" s="176"/>
      <c r="AID40" s="176"/>
      <c r="AIE40" s="176"/>
      <c r="AIF40" s="176"/>
      <c r="AIG40" s="178"/>
      <c r="AIH40" s="176"/>
      <c r="AII40" s="176"/>
      <c r="AIJ40" s="176"/>
      <c r="AIK40" s="176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  <c r="BLV40" s="175"/>
      <c r="BLW40" s="176"/>
      <c r="BLX40" s="176"/>
      <c r="BLY40" s="176"/>
      <c r="BLZ40" s="176"/>
      <c r="BMA40" s="177"/>
      <c r="BMB40" s="176"/>
      <c r="BMC40" s="176"/>
      <c r="BMD40" s="176"/>
      <c r="BME40" s="176"/>
      <c r="BMF40" s="176"/>
      <c r="BMG40" s="178"/>
      <c r="BMH40" s="176"/>
      <c r="BMI40" s="176"/>
      <c r="BMJ40" s="176"/>
      <c r="BMK40" s="176"/>
      <c r="BML40" s="176"/>
      <c r="BMM40" s="179"/>
      <c r="BMN40" s="176"/>
      <c r="BMO40" s="176"/>
      <c r="BMP40" s="176"/>
      <c r="BMQ40" s="176"/>
      <c r="BMR40" s="176"/>
      <c r="BMS40" s="178"/>
      <c r="BMT40" s="176"/>
      <c r="BMU40" s="176"/>
      <c r="BMV40" s="176"/>
      <c r="BMW40" s="176"/>
      <c r="BMX40" s="176"/>
      <c r="BMY40" s="179"/>
      <c r="BMZ40" s="176"/>
      <c r="BNA40" s="176"/>
      <c r="BNB40" s="176"/>
      <c r="BNC40" s="176"/>
      <c r="BND40" s="176"/>
      <c r="BNE40" s="178"/>
      <c r="BNF40" s="176"/>
      <c r="BNG40" s="176"/>
      <c r="BNH40" s="176"/>
      <c r="BNI40" s="176"/>
      <c r="BNJ40" s="176"/>
      <c r="BNK40" s="179"/>
      <c r="BNL40" s="176"/>
      <c r="BNM40" s="176"/>
      <c r="BNN40" s="176"/>
      <c r="BNO40" s="176"/>
      <c r="BNP40" s="176"/>
      <c r="BNQ40" s="178"/>
      <c r="BNR40" s="176"/>
      <c r="BNS40" s="176"/>
      <c r="BNT40" s="176"/>
      <c r="BNU40" s="176"/>
      <c r="BNV40" s="176"/>
      <c r="BNW40" s="179"/>
      <c r="BNX40" s="176"/>
      <c r="BNY40" s="176"/>
      <c r="BNZ40" s="176"/>
      <c r="BOA40" s="176"/>
      <c r="BOB40" s="176"/>
      <c r="BOC40" s="180"/>
      <c r="BOD40" s="175"/>
      <c r="BOE40" s="176"/>
      <c r="BOF40" s="176"/>
      <c r="BOG40" s="176"/>
      <c r="BOH40" s="176"/>
      <c r="BOI40" s="177"/>
      <c r="BOJ40" s="176"/>
      <c r="BOK40" s="176"/>
      <c r="BOL40" s="176"/>
      <c r="BOM40" s="176"/>
      <c r="BON40" s="176"/>
      <c r="BOO40" s="178"/>
      <c r="BOP40" s="176"/>
      <c r="BOQ40" s="176"/>
      <c r="BOR40" s="176"/>
      <c r="BOS40" s="176"/>
      <c r="BOT40" s="176"/>
      <c r="BOU40" s="179"/>
      <c r="BOV40" s="176"/>
      <c r="BOW40" s="176"/>
      <c r="BOX40" s="176"/>
      <c r="BOY40" s="176"/>
      <c r="BOZ40" s="176"/>
      <c r="BPA40" s="178"/>
      <c r="BPB40" s="176"/>
      <c r="BPC40" s="176"/>
      <c r="BPD40" s="176"/>
      <c r="BPE40" s="176"/>
      <c r="BPF40" s="176"/>
      <c r="BPG40" s="179"/>
      <c r="BPH40" s="176"/>
      <c r="BPI40" s="176"/>
      <c r="BPJ40" s="176"/>
      <c r="BPK40" s="176"/>
      <c r="BPL40" s="176"/>
      <c r="BPM40" s="178"/>
      <c r="BPN40" s="176"/>
      <c r="BPO40" s="176"/>
      <c r="BPP40" s="176"/>
      <c r="BPQ40" s="176"/>
      <c r="BPR40" s="176"/>
      <c r="BPS40" s="179"/>
      <c r="BPT40" s="176"/>
      <c r="BPU40" s="176"/>
      <c r="BPV40" s="176"/>
      <c r="BPW40" s="176"/>
      <c r="BPX40" s="176"/>
      <c r="BPY40" s="178"/>
      <c r="BPZ40" s="176"/>
      <c r="BQA40" s="176"/>
      <c r="BQB40" s="176"/>
      <c r="BQC40" s="176"/>
      <c r="BQD40" s="176"/>
      <c r="BQE40" s="179"/>
      <c r="BQF40" s="176"/>
      <c r="BQG40" s="176"/>
      <c r="BQH40" s="176"/>
      <c r="BQI40" s="176"/>
      <c r="BQJ40" s="176"/>
      <c r="BQK40" s="180"/>
    </row>
    <row r="41" spans="1:1805" ht="20.100000000000001" customHeight="1" x14ac:dyDescent="0.25">
      <c r="A41" s="84" t="s">
        <v>19</v>
      </c>
      <c r="B41" s="53"/>
      <c r="C41" s="228" t="s">
        <v>87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  <c r="BLV41" s="155"/>
      <c r="BLW41" s="156"/>
      <c r="BLX41" s="156"/>
      <c r="BLY41" s="156"/>
      <c r="BLZ41" s="156"/>
      <c r="BMA41" s="157"/>
      <c r="BMB41" s="156"/>
      <c r="BMC41" s="156"/>
      <c r="BMD41" s="156"/>
      <c r="BME41" s="156"/>
      <c r="BMF41" s="156"/>
      <c r="BMG41" s="158"/>
      <c r="BMH41" s="156"/>
      <c r="BMI41" s="156"/>
      <c r="BMJ41" s="156"/>
      <c r="BMK41" s="156"/>
      <c r="BML41" s="156"/>
      <c r="BMM41" s="159"/>
      <c r="BMN41" s="156"/>
      <c r="BMO41" s="156"/>
      <c r="BMP41" s="156"/>
      <c r="BMQ41" s="156"/>
      <c r="BMR41" s="156"/>
      <c r="BMS41" s="158"/>
      <c r="BMT41" s="156"/>
      <c r="BMU41" s="156"/>
      <c r="BMV41" s="156"/>
      <c r="BMW41" s="156"/>
      <c r="BMX41" s="156"/>
      <c r="BMY41" s="159"/>
      <c r="BMZ41" s="156"/>
      <c r="BNA41" s="156"/>
      <c r="BNB41" s="156"/>
      <c r="BNC41" s="156"/>
      <c r="BND41" s="156"/>
      <c r="BNE41" s="158"/>
      <c r="BNF41" s="156"/>
      <c r="BNG41" s="156"/>
      <c r="BNH41" s="156"/>
      <c r="BNI41" s="156"/>
      <c r="BNJ41" s="156"/>
      <c r="BNK41" s="159"/>
      <c r="BNL41" s="156"/>
      <c r="BNM41" s="156"/>
      <c r="BNN41" s="156"/>
      <c r="BNO41" s="156"/>
      <c r="BNP41" s="156"/>
      <c r="BNQ41" s="158"/>
      <c r="BNR41" s="156"/>
      <c r="BNS41" s="156"/>
      <c r="BNT41" s="156"/>
      <c r="BNU41" s="156"/>
      <c r="BNV41" s="156"/>
      <c r="BNW41" s="159"/>
      <c r="BNX41" s="156"/>
      <c r="BNY41" s="156"/>
      <c r="BNZ41" s="156"/>
      <c r="BOA41" s="156"/>
      <c r="BOB41" s="156"/>
      <c r="BOC41" s="160"/>
      <c r="BOD41" s="155"/>
      <c r="BOE41" s="156"/>
      <c r="BOF41" s="156"/>
      <c r="BOG41" s="156"/>
      <c r="BOH41" s="156"/>
      <c r="BOI41" s="157"/>
      <c r="BOJ41" s="156"/>
      <c r="BOK41" s="156"/>
      <c r="BOL41" s="156"/>
      <c r="BOM41" s="156"/>
      <c r="BON41" s="156"/>
      <c r="BOO41" s="158"/>
      <c r="BOP41" s="156"/>
      <c r="BOQ41" s="156"/>
      <c r="BOR41" s="156"/>
      <c r="BOS41" s="156"/>
      <c r="BOT41" s="156"/>
      <c r="BOU41" s="159"/>
      <c r="BOV41" s="156"/>
      <c r="BOW41" s="156"/>
      <c r="BOX41" s="156"/>
      <c r="BOY41" s="156"/>
      <c r="BOZ41" s="156"/>
      <c r="BPA41" s="158"/>
      <c r="BPB41" s="156"/>
      <c r="BPC41" s="156"/>
      <c r="BPD41" s="156"/>
      <c r="BPE41" s="156"/>
      <c r="BPF41" s="156"/>
      <c r="BPG41" s="159"/>
      <c r="BPH41" s="156"/>
      <c r="BPI41" s="156"/>
      <c r="BPJ41" s="156"/>
      <c r="BPK41" s="156"/>
      <c r="BPL41" s="156"/>
      <c r="BPM41" s="158"/>
      <c r="BPN41" s="156"/>
      <c r="BPO41" s="156"/>
      <c r="BPP41" s="156"/>
      <c r="BPQ41" s="156"/>
      <c r="BPR41" s="156"/>
      <c r="BPS41" s="159"/>
      <c r="BPT41" s="156"/>
      <c r="BPU41" s="156"/>
      <c r="BPV41" s="156"/>
      <c r="BPW41" s="156"/>
      <c r="BPX41" s="156"/>
      <c r="BPY41" s="158"/>
      <c r="BPZ41" s="156"/>
      <c r="BQA41" s="156"/>
      <c r="BQB41" s="156"/>
      <c r="BQC41" s="156"/>
      <c r="BQD41" s="156"/>
      <c r="BQE41" s="159"/>
      <c r="BQF41" s="156"/>
      <c r="BQG41" s="156"/>
      <c r="BQH41" s="156"/>
      <c r="BQI41" s="156"/>
      <c r="BQJ41" s="156"/>
      <c r="BQK41" s="160"/>
    </row>
    <row r="42" spans="1:1805" ht="20.100000000000001" customHeight="1" x14ac:dyDescent="0.3">
      <c r="A42" s="84" t="s">
        <v>20</v>
      </c>
      <c r="B42" s="53"/>
      <c r="C42" s="229"/>
      <c r="D42" s="131" t="str">
        <f t="shared" si="0"/>
        <v>0h</v>
      </c>
      <c r="E42" s="30">
        <v>0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182"/>
      <c r="AIM42" s="185"/>
      <c r="AIN42" s="182"/>
      <c r="AIO42" s="182"/>
      <c r="AIP42" s="182"/>
      <c r="AIQ42" s="182"/>
      <c r="AIR42" s="182"/>
      <c r="AIS42" s="184"/>
      <c r="AIT42" s="182"/>
      <c r="AIU42" s="182"/>
      <c r="AIV42" s="182"/>
      <c r="AIW42" s="182"/>
      <c r="AIX42" s="182"/>
      <c r="AIY42" s="185"/>
      <c r="AIZ42" s="182"/>
      <c r="AJA42" s="182"/>
      <c r="AJB42" s="182"/>
      <c r="AJC42" s="182"/>
      <c r="AJD42" s="182"/>
      <c r="AJE42" s="184"/>
      <c r="AJF42" s="182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  <c r="BLV42" s="181"/>
      <c r="BLW42" s="182"/>
      <c r="BLX42" s="182"/>
      <c r="BLY42" s="182"/>
      <c r="BLZ42" s="182"/>
      <c r="BMA42" s="183"/>
      <c r="BMB42" s="182"/>
      <c r="BMC42" s="182"/>
      <c r="BMD42" s="182"/>
      <c r="BME42" s="182"/>
      <c r="BMF42" s="182"/>
      <c r="BMG42" s="184"/>
      <c r="BMH42" s="182"/>
      <c r="BMI42" s="182"/>
      <c r="BMJ42" s="182"/>
      <c r="BMK42" s="182"/>
      <c r="BML42" s="182"/>
      <c r="BMM42" s="185"/>
      <c r="BMN42" s="182"/>
      <c r="BMO42" s="182"/>
      <c r="BMP42" s="182"/>
      <c r="BMQ42" s="182"/>
      <c r="BMR42" s="182"/>
      <c r="BMS42" s="184"/>
      <c r="BMT42" s="182"/>
      <c r="BMU42" s="182"/>
      <c r="BMV42" s="182"/>
      <c r="BMW42" s="182"/>
      <c r="BMX42" s="182"/>
      <c r="BMY42" s="185"/>
      <c r="BMZ42" s="182"/>
      <c r="BNA42" s="182"/>
      <c r="BNB42" s="182"/>
      <c r="BNC42" s="182"/>
      <c r="BND42" s="182"/>
      <c r="BNE42" s="184"/>
      <c r="BNF42" s="182"/>
      <c r="BNG42" s="182"/>
      <c r="BNH42" s="182"/>
      <c r="BNI42" s="182"/>
      <c r="BNJ42" s="182"/>
      <c r="BNK42" s="185"/>
      <c r="BNL42" s="182"/>
      <c r="BNM42" s="182"/>
      <c r="BNN42" s="182"/>
      <c r="BNO42" s="182"/>
      <c r="BNP42" s="182"/>
      <c r="BNQ42" s="184"/>
      <c r="BNR42" s="182"/>
      <c r="BNS42" s="182"/>
      <c r="BNT42" s="182"/>
      <c r="BNU42" s="182"/>
      <c r="BNV42" s="182"/>
      <c r="BNW42" s="185"/>
      <c r="BNX42" s="182"/>
      <c r="BNY42" s="182"/>
      <c r="BNZ42" s="182"/>
      <c r="BOA42" s="182"/>
      <c r="BOB42" s="182"/>
      <c r="BOC42" s="186"/>
      <c r="BOD42" s="181"/>
      <c r="BOE42" s="182"/>
      <c r="BOF42" s="182"/>
      <c r="BOG42" s="182"/>
      <c r="BOH42" s="182"/>
      <c r="BOI42" s="183"/>
      <c r="BOJ42" s="182"/>
      <c r="BOK42" s="182"/>
      <c r="BOL42" s="182"/>
      <c r="BOM42" s="182"/>
      <c r="BON42" s="182"/>
      <c r="BOO42" s="184"/>
      <c r="BOP42" s="182"/>
      <c r="BOQ42" s="182"/>
      <c r="BOR42" s="182"/>
      <c r="BOS42" s="182"/>
      <c r="BOT42" s="182"/>
      <c r="BOU42" s="185"/>
      <c r="BOV42" s="182"/>
      <c r="BOW42" s="182"/>
      <c r="BOX42" s="182"/>
      <c r="BOY42" s="182"/>
      <c r="BOZ42" s="182"/>
      <c r="BPA42" s="184"/>
      <c r="BPB42" s="182"/>
      <c r="BPC42" s="182"/>
      <c r="BPD42" s="182"/>
      <c r="BPE42" s="182"/>
      <c r="BPF42" s="182"/>
      <c r="BPG42" s="185"/>
      <c r="BPH42" s="182"/>
      <c r="BPI42" s="182"/>
      <c r="BPJ42" s="182"/>
      <c r="BPK42" s="182"/>
      <c r="BPL42" s="182"/>
      <c r="BPM42" s="184"/>
      <c r="BPN42" s="182"/>
      <c r="BPO42" s="182"/>
      <c r="BPP42" s="182"/>
      <c r="BPQ42" s="182"/>
      <c r="BPR42" s="182"/>
      <c r="BPS42" s="185"/>
      <c r="BPT42" s="182"/>
      <c r="BPU42" s="182"/>
      <c r="BPV42" s="182"/>
      <c r="BPW42" s="182"/>
      <c r="BPX42" s="182"/>
      <c r="BPY42" s="184"/>
      <c r="BPZ42" s="182"/>
      <c r="BQA42" s="182"/>
      <c r="BQB42" s="182"/>
      <c r="BQC42" s="182"/>
      <c r="BQD42" s="182"/>
      <c r="BQE42" s="185"/>
      <c r="BQF42" s="182"/>
      <c r="BQG42" s="182"/>
      <c r="BQH42" s="182"/>
      <c r="BQI42" s="182"/>
      <c r="BQJ42" s="182"/>
      <c r="BQK42" s="186"/>
    </row>
    <row r="43" spans="1:1805" ht="20.100000000000001" customHeight="1" x14ac:dyDescent="0.25">
      <c r="A43" s="84" t="s">
        <v>19</v>
      </c>
      <c r="B43" s="53"/>
      <c r="C43" s="228" t="s">
        <v>88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  <c r="BLV43" s="155"/>
      <c r="BLW43" s="156"/>
      <c r="BLX43" s="156"/>
      <c r="BLY43" s="156"/>
      <c r="BLZ43" s="156"/>
      <c r="BMA43" s="157"/>
      <c r="BMB43" s="156"/>
      <c r="BMC43" s="156"/>
      <c r="BMD43" s="156"/>
      <c r="BME43" s="156"/>
      <c r="BMF43" s="156"/>
      <c r="BMG43" s="158"/>
      <c r="BMH43" s="156"/>
      <c r="BMI43" s="156"/>
      <c r="BMJ43" s="156"/>
      <c r="BMK43" s="156"/>
      <c r="BML43" s="156"/>
      <c r="BMM43" s="159"/>
      <c r="BMN43" s="156"/>
      <c r="BMO43" s="156"/>
      <c r="BMP43" s="156"/>
      <c r="BMQ43" s="156"/>
      <c r="BMR43" s="156"/>
      <c r="BMS43" s="158"/>
      <c r="BMT43" s="156"/>
      <c r="BMU43" s="156"/>
      <c r="BMV43" s="156"/>
      <c r="BMW43" s="156"/>
      <c r="BMX43" s="156"/>
      <c r="BMY43" s="159"/>
      <c r="BMZ43" s="156"/>
      <c r="BNA43" s="156"/>
      <c r="BNB43" s="156"/>
      <c r="BNC43" s="156"/>
      <c r="BND43" s="156"/>
      <c r="BNE43" s="158"/>
      <c r="BNF43" s="156"/>
      <c r="BNG43" s="156"/>
      <c r="BNH43" s="156"/>
      <c r="BNI43" s="156"/>
      <c r="BNJ43" s="156"/>
      <c r="BNK43" s="159"/>
      <c r="BNL43" s="156"/>
      <c r="BNM43" s="156"/>
      <c r="BNN43" s="156"/>
      <c r="BNO43" s="156"/>
      <c r="BNP43" s="156"/>
      <c r="BNQ43" s="158"/>
      <c r="BNR43" s="156"/>
      <c r="BNS43" s="156"/>
      <c r="BNT43" s="156"/>
      <c r="BNU43" s="156"/>
      <c r="BNV43" s="156"/>
      <c r="BNW43" s="159"/>
      <c r="BNX43" s="156"/>
      <c r="BNY43" s="156"/>
      <c r="BNZ43" s="156"/>
      <c r="BOA43" s="156"/>
      <c r="BOB43" s="156"/>
      <c r="BOC43" s="160"/>
      <c r="BOD43" s="155"/>
      <c r="BOE43" s="156"/>
      <c r="BOF43" s="156"/>
      <c r="BOG43" s="156"/>
      <c r="BOH43" s="156"/>
      <c r="BOI43" s="157"/>
      <c r="BOJ43" s="156"/>
      <c r="BOK43" s="156"/>
      <c r="BOL43" s="156"/>
      <c r="BOM43" s="156"/>
      <c r="BON43" s="156"/>
      <c r="BOO43" s="158"/>
      <c r="BOP43" s="156"/>
      <c r="BOQ43" s="156"/>
      <c r="BOR43" s="156"/>
      <c r="BOS43" s="156"/>
      <c r="BOT43" s="156"/>
      <c r="BOU43" s="159"/>
      <c r="BOV43" s="156"/>
      <c r="BOW43" s="156"/>
      <c r="BOX43" s="156"/>
      <c r="BOY43" s="156"/>
      <c r="BOZ43" s="156"/>
      <c r="BPA43" s="158"/>
      <c r="BPB43" s="156"/>
      <c r="BPC43" s="156"/>
      <c r="BPD43" s="156"/>
      <c r="BPE43" s="156"/>
      <c r="BPF43" s="156"/>
      <c r="BPG43" s="159"/>
      <c r="BPH43" s="156"/>
      <c r="BPI43" s="156"/>
      <c r="BPJ43" s="156"/>
      <c r="BPK43" s="156"/>
      <c r="BPL43" s="156"/>
      <c r="BPM43" s="158"/>
      <c r="BPN43" s="156"/>
      <c r="BPO43" s="156"/>
      <c r="BPP43" s="156"/>
      <c r="BPQ43" s="156"/>
      <c r="BPR43" s="156"/>
      <c r="BPS43" s="159"/>
      <c r="BPT43" s="156"/>
      <c r="BPU43" s="156"/>
      <c r="BPV43" s="156"/>
      <c r="BPW43" s="156"/>
      <c r="BPX43" s="156"/>
      <c r="BPY43" s="158"/>
      <c r="BPZ43" s="156"/>
      <c r="BQA43" s="156"/>
      <c r="BQB43" s="156"/>
      <c r="BQC43" s="156"/>
      <c r="BQD43" s="156"/>
      <c r="BQE43" s="159"/>
      <c r="BQF43" s="156"/>
      <c r="BQG43" s="156"/>
      <c r="BQH43" s="156"/>
      <c r="BQI43" s="156"/>
      <c r="BQJ43" s="156"/>
      <c r="BQK43" s="160"/>
    </row>
    <row r="44" spans="1:1805" ht="20.100000000000001" customHeight="1" x14ac:dyDescent="0.3">
      <c r="A44" s="84" t="s">
        <v>20</v>
      </c>
      <c r="B44" s="53"/>
      <c r="C44" s="229"/>
      <c r="D44" s="131" t="str">
        <f t="shared" si="0"/>
        <v>0h25min</v>
      </c>
      <c r="E44" s="30">
        <v>5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209"/>
      <c r="JP44" s="206"/>
      <c r="JQ44" s="206"/>
      <c r="JR44" s="206"/>
      <c r="JS44" s="206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181"/>
      <c r="UA44" s="182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182"/>
      <c r="WS44" s="184"/>
      <c r="WT44" s="182"/>
      <c r="WU44" s="182"/>
      <c r="WV44" s="182"/>
      <c r="WW44" s="182"/>
      <c r="WX44" s="182"/>
      <c r="WY44" s="185"/>
      <c r="WZ44" s="182"/>
      <c r="XA44" s="182"/>
      <c r="XB44" s="182"/>
      <c r="XC44" s="182"/>
      <c r="XD44" s="182"/>
      <c r="XE44" s="184"/>
      <c r="XF44" s="182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182"/>
      <c r="ZX44" s="182"/>
      <c r="ZY44" s="184"/>
      <c r="ZZ44" s="182"/>
      <c r="AAA44" s="182"/>
      <c r="AAB44" s="182"/>
      <c r="AAC44" s="182"/>
      <c r="AAD44" s="182"/>
      <c r="AAE44" s="185"/>
      <c r="AAF44" s="182"/>
      <c r="AAG44" s="182"/>
      <c r="AAH44" s="182"/>
      <c r="AAI44" s="182"/>
      <c r="AAJ44" s="182"/>
      <c r="AAK44" s="184"/>
      <c r="AAL44" s="182"/>
      <c r="AAM44" s="182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181"/>
      <c r="AAY44" s="182"/>
      <c r="AAZ44" s="182"/>
      <c r="ABA44" s="182"/>
      <c r="ABB44" s="182"/>
      <c r="ABC44" s="183"/>
      <c r="ABD44" s="182"/>
      <c r="ABE44" s="182"/>
      <c r="ABF44" s="182"/>
      <c r="ABG44" s="182"/>
      <c r="ABH44" s="182"/>
      <c r="ABI44" s="184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182"/>
      <c r="AEN44" s="182"/>
      <c r="AEO44" s="184"/>
      <c r="AEP44" s="182"/>
      <c r="AEQ44" s="182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181"/>
      <c r="AFO44" s="182"/>
      <c r="AFP44" s="182"/>
      <c r="AFQ44" s="182"/>
      <c r="AFR44" s="182"/>
      <c r="AFS44" s="183"/>
      <c r="AFT44" s="182"/>
      <c r="AFU44" s="182"/>
      <c r="AFV44" s="182"/>
      <c r="AFW44" s="182"/>
      <c r="AFX44" s="182"/>
      <c r="AFY44" s="184"/>
      <c r="AFZ44" s="182"/>
      <c r="AGA44" s="182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182"/>
      <c r="AGQ44" s="185"/>
      <c r="AGR44" s="182"/>
      <c r="AGS44" s="182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182"/>
      <c r="AIY44" s="185"/>
      <c r="AIZ44" s="182"/>
      <c r="AJA44" s="182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182"/>
      <c r="ANI44" s="184"/>
      <c r="ANJ44" s="182"/>
      <c r="ANK44" s="182"/>
      <c r="ANL44" s="182"/>
      <c r="ANM44" s="182"/>
      <c r="ANN44" s="182"/>
      <c r="ANO44" s="185"/>
      <c r="ANP44" s="182"/>
      <c r="ANQ44" s="182"/>
      <c r="ANR44" s="182"/>
      <c r="ANS44" s="182"/>
      <c r="ANT44" s="182"/>
      <c r="ANU44" s="184"/>
      <c r="ANV44" s="182"/>
      <c r="ANW44" s="182"/>
      <c r="ANX44" s="182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  <c r="BLV44" s="181"/>
      <c r="BLW44" s="182"/>
      <c r="BLX44" s="182"/>
      <c r="BLY44" s="182"/>
      <c r="BLZ44" s="182"/>
      <c r="BMA44" s="183"/>
      <c r="BMB44" s="182"/>
      <c r="BMC44" s="182"/>
      <c r="BMD44" s="182"/>
      <c r="BME44" s="182"/>
      <c r="BMF44" s="182"/>
      <c r="BMG44" s="184"/>
      <c r="BMH44" s="182"/>
      <c r="BMI44" s="182"/>
      <c r="BMJ44" s="182"/>
      <c r="BMK44" s="182"/>
      <c r="BML44" s="182"/>
      <c r="BMM44" s="185"/>
      <c r="BMN44" s="182"/>
      <c r="BMO44" s="182"/>
      <c r="BMP44" s="182"/>
      <c r="BMQ44" s="182"/>
      <c r="BMR44" s="182"/>
      <c r="BMS44" s="184"/>
      <c r="BMT44" s="182"/>
      <c r="BMU44" s="182"/>
      <c r="BMV44" s="182"/>
      <c r="BMW44" s="182"/>
      <c r="BMX44" s="182"/>
      <c r="BMY44" s="185"/>
      <c r="BMZ44" s="182"/>
      <c r="BNA44" s="182"/>
      <c r="BNB44" s="182"/>
      <c r="BNC44" s="182"/>
      <c r="BND44" s="182"/>
      <c r="BNE44" s="184"/>
      <c r="BNF44" s="182"/>
      <c r="BNG44" s="182"/>
      <c r="BNH44" s="182"/>
      <c r="BNI44" s="182"/>
      <c r="BNJ44" s="182"/>
      <c r="BNK44" s="185"/>
      <c r="BNL44" s="182"/>
      <c r="BNM44" s="182"/>
      <c r="BNN44" s="182"/>
      <c r="BNO44" s="182"/>
      <c r="BNP44" s="182"/>
      <c r="BNQ44" s="184"/>
      <c r="BNR44" s="182"/>
      <c r="BNS44" s="182"/>
      <c r="BNT44" s="182"/>
      <c r="BNU44" s="182"/>
      <c r="BNV44" s="182"/>
      <c r="BNW44" s="185"/>
      <c r="BNX44" s="182"/>
      <c r="BNY44" s="182"/>
      <c r="BNZ44" s="182"/>
      <c r="BOA44" s="182"/>
      <c r="BOB44" s="182"/>
      <c r="BOC44" s="186"/>
      <c r="BOD44" s="181"/>
      <c r="BOE44" s="182"/>
      <c r="BOF44" s="182"/>
      <c r="BOG44" s="182"/>
      <c r="BOH44" s="182"/>
      <c r="BOI44" s="183"/>
      <c r="BOJ44" s="182"/>
      <c r="BOK44" s="182"/>
      <c r="BOL44" s="182"/>
      <c r="BOM44" s="182"/>
      <c r="BON44" s="182"/>
      <c r="BOO44" s="184"/>
      <c r="BOP44" s="182"/>
      <c r="BOQ44" s="182"/>
      <c r="BOR44" s="182"/>
      <c r="BOS44" s="182"/>
      <c r="BOT44" s="182"/>
      <c r="BOU44" s="185"/>
      <c r="BOV44" s="182"/>
      <c r="BOW44" s="182"/>
      <c r="BOX44" s="182"/>
      <c r="BOY44" s="182"/>
      <c r="BOZ44" s="182"/>
      <c r="BPA44" s="184"/>
      <c r="BPB44" s="182"/>
      <c r="BPC44" s="182"/>
      <c r="BPD44" s="182"/>
      <c r="BPE44" s="182"/>
      <c r="BPF44" s="182"/>
      <c r="BPG44" s="185"/>
      <c r="BPH44" s="182"/>
      <c r="BPI44" s="182"/>
      <c r="BPJ44" s="182"/>
      <c r="BPK44" s="182"/>
      <c r="BPL44" s="182"/>
      <c r="BPM44" s="184"/>
      <c r="BPN44" s="182"/>
      <c r="BPO44" s="182"/>
      <c r="BPP44" s="182"/>
      <c r="BPQ44" s="182"/>
      <c r="BPR44" s="182"/>
      <c r="BPS44" s="185"/>
      <c r="BPT44" s="182"/>
      <c r="BPU44" s="182"/>
      <c r="BPV44" s="182"/>
      <c r="BPW44" s="182"/>
      <c r="BPX44" s="182"/>
      <c r="BPY44" s="184"/>
      <c r="BPZ44" s="182"/>
      <c r="BQA44" s="182"/>
      <c r="BQB44" s="182"/>
      <c r="BQC44" s="182"/>
      <c r="BQD44" s="182"/>
      <c r="BQE44" s="185"/>
      <c r="BQF44" s="182"/>
      <c r="BQG44" s="182"/>
      <c r="BQH44" s="182"/>
      <c r="BQI44" s="182"/>
      <c r="BQJ44" s="182"/>
      <c r="BQK44" s="186"/>
    </row>
    <row r="45" spans="1:1805" ht="20.100000000000001" customHeight="1" x14ac:dyDescent="0.25">
      <c r="A45" s="84" t="s">
        <v>19</v>
      </c>
      <c r="B45" s="53"/>
      <c r="C45" s="228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  <c r="BLV45" s="161"/>
      <c r="BLW45" s="162"/>
      <c r="BLX45" s="162"/>
      <c r="BLY45" s="162"/>
      <c r="BLZ45" s="162"/>
      <c r="BMA45" s="163"/>
      <c r="BMB45" s="162"/>
      <c r="BMC45" s="162"/>
      <c r="BMD45" s="162"/>
      <c r="BME45" s="162"/>
      <c r="BMF45" s="162"/>
      <c r="BMG45" s="164"/>
      <c r="BMH45" s="162"/>
      <c r="BMI45" s="162"/>
      <c r="BMJ45" s="162"/>
      <c r="BMK45" s="162"/>
      <c r="BML45" s="162"/>
      <c r="BMM45" s="165"/>
      <c r="BMN45" s="162"/>
      <c r="BMO45" s="162"/>
      <c r="BMP45" s="162"/>
      <c r="BMQ45" s="162"/>
      <c r="BMR45" s="162"/>
      <c r="BMS45" s="164"/>
      <c r="BMT45" s="162"/>
      <c r="BMU45" s="162"/>
      <c r="BMV45" s="162"/>
      <c r="BMW45" s="162"/>
      <c r="BMX45" s="162"/>
      <c r="BMY45" s="165"/>
      <c r="BMZ45" s="162"/>
      <c r="BNA45" s="162"/>
      <c r="BNB45" s="162"/>
      <c r="BNC45" s="162"/>
      <c r="BND45" s="162"/>
      <c r="BNE45" s="164"/>
      <c r="BNF45" s="162"/>
      <c r="BNG45" s="162"/>
      <c r="BNH45" s="162"/>
      <c r="BNI45" s="162"/>
      <c r="BNJ45" s="162"/>
      <c r="BNK45" s="165"/>
      <c r="BNL45" s="162"/>
      <c r="BNM45" s="162"/>
      <c r="BNN45" s="162"/>
      <c r="BNO45" s="162"/>
      <c r="BNP45" s="162"/>
      <c r="BNQ45" s="164"/>
      <c r="BNR45" s="162"/>
      <c r="BNS45" s="162"/>
      <c r="BNT45" s="162"/>
      <c r="BNU45" s="162"/>
      <c r="BNV45" s="162"/>
      <c r="BNW45" s="165"/>
      <c r="BNX45" s="162"/>
      <c r="BNY45" s="162"/>
      <c r="BNZ45" s="162"/>
      <c r="BOA45" s="162"/>
      <c r="BOB45" s="162"/>
      <c r="BOC45" s="166"/>
      <c r="BOD45" s="161"/>
      <c r="BOE45" s="162"/>
      <c r="BOF45" s="162"/>
      <c r="BOG45" s="162"/>
      <c r="BOH45" s="162"/>
      <c r="BOI45" s="163"/>
      <c r="BOJ45" s="162"/>
      <c r="BOK45" s="162"/>
      <c r="BOL45" s="162"/>
      <c r="BOM45" s="162"/>
      <c r="BON45" s="162"/>
      <c r="BOO45" s="164"/>
      <c r="BOP45" s="162"/>
      <c r="BOQ45" s="162"/>
      <c r="BOR45" s="162"/>
      <c r="BOS45" s="162"/>
      <c r="BOT45" s="162"/>
      <c r="BOU45" s="165"/>
      <c r="BOV45" s="162"/>
      <c r="BOW45" s="162"/>
      <c r="BOX45" s="162"/>
      <c r="BOY45" s="162"/>
      <c r="BOZ45" s="162"/>
      <c r="BPA45" s="164"/>
      <c r="BPB45" s="162"/>
      <c r="BPC45" s="162"/>
      <c r="BPD45" s="162"/>
      <c r="BPE45" s="162"/>
      <c r="BPF45" s="162"/>
      <c r="BPG45" s="165"/>
      <c r="BPH45" s="162"/>
      <c r="BPI45" s="162"/>
      <c r="BPJ45" s="162"/>
      <c r="BPK45" s="162"/>
      <c r="BPL45" s="162"/>
      <c r="BPM45" s="164"/>
      <c r="BPN45" s="162"/>
      <c r="BPO45" s="162"/>
      <c r="BPP45" s="162"/>
      <c r="BPQ45" s="162"/>
      <c r="BPR45" s="162"/>
      <c r="BPS45" s="165"/>
      <c r="BPT45" s="162"/>
      <c r="BPU45" s="162"/>
      <c r="BPV45" s="162"/>
      <c r="BPW45" s="162"/>
      <c r="BPX45" s="162"/>
      <c r="BPY45" s="164"/>
      <c r="BPZ45" s="162"/>
      <c r="BQA45" s="162"/>
      <c r="BQB45" s="162"/>
      <c r="BQC45" s="162"/>
      <c r="BQD45" s="162"/>
      <c r="BQE45" s="165"/>
      <c r="BQF45" s="162"/>
      <c r="BQG45" s="162"/>
      <c r="BQH45" s="162"/>
      <c r="BQI45" s="162"/>
      <c r="BQJ45" s="162"/>
      <c r="BQK45" s="166"/>
    </row>
    <row r="46" spans="1:1805" ht="20.100000000000001" customHeight="1" x14ac:dyDescent="0.25">
      <c r="A46" s="84" t="s">
        <v>20</v>
      </c>
      <c r="B46" s="53"/>
      <c r="C46" s="229"/>
      <c r="D46" s="130" t="str">
        <f t="shared" si="0"/>
        <v>0h</v>
      </c>
      <c r="E46" s="30">
        <v>0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181"/>
      <c r="AKE46" s="182"/>
      <c r="AKF46" s="182"/>
      <c r="AKG46" s="182"/>
      <c r="AKH46" s="182"/>
      <c r="AKI46" s="183"/>
      <c r="AKJ46" s="182"/>
      <c r="AKK46" s="182"/>
      <c r="AKL46" s="182"/>
      <c r="AKM46" s="182"/>
      <c r="AKN46" s="182"/>
      <c r="AKO46" s="184"/>
      <c r="AKP46" s="182"/>
      <c r="AKQ46" s="182"/>
      <c r="AKR46" s="182"/>
      <c r="AKS46" s="182"/>
      <c r="AKT46" s="182"/>
      <c r="AKU46" s="185"/>
      <c r="AKV46" s="182"/>
      <c r="AKW46" s="182"/>
      <c r="AKX46" s="182"/>
      <c r="AKY46" s="182"/>
      <c r="AKZ46" s="182"/>
      <c r="ALA46" s="184"/>
      <c r="ALB46" s="182"/>
      <c r="ALC46" s="182"/>
      <c r="ALD46" s="182"/>
      <c r="ALE46" s="182"/>
      <c r="ALF46" s="182"/>
      <c r="ALG46" s="185"/>
      <c r="ALH46" s="182"/>
      <c r="ALI46" s="182"/>
      <c r="ALJ46" s="182"/>
      <c r="ALK46" s="182"/>
      <c r="ALL46" s="182"/>
      <c r="ALM46" s="184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  <c r="BLV46" s="181"/>
      <c r="BLW46" s="182"/>
      <c r="BLX46" s="182"/>
      <c r="BLY46" s="182"/>
      <c r="BLZ46" s="182"/>
      <c r="BMA46" s="183"/>
      <c r="BMB46" s="182"/>
      <c r="BMC46" s="182"/>
      <c r="BMD46" s="182"/>
      <c r="BME46" s="182"/>
      <c r="BMF46" s="182"/>
      <c r="BMG46" s="184"/>
      <c r="BMH46" s="182"/>
      <c r="BMI46" s="182"/>
      <c r="BMJ46" s="182"/>
      <c r="BMK46" s="182"/>
      <c r="BML46" s="182"/>
      <c r="BMM46" s="185"/>
      <c r="BMN46" s="182"/>
      <c r="BMO46" s="182"/>
      <c r="BMP46" s="182"/>
      <c r="BMQ46" s="182"/>
      <c r="BMR46" s="182"/>
      <c r="BMS46" s="184"/>
      <c r="BMT46" s="182"/>
      <c r="BMU46" s="182"/>
      <c r="BMV46" s="182"/>
      <c r="BMW46" s="182"/>
      <c r="BMX46" s="182"/>
      <c r="BMY46" s="185"/>
      <c r="BMZ46" s="182"/>
      <c r="BNA46" s="182"/>
      <c r="BNB46" s="182"/>
      <c r="BNC46" s="182"/>
      <c r="BND46" s="182"/>
      <c r="BNE46" s="184"/>
      <c r="BNF46" s="182"/>
      <c r="BNG46" s="182"/>
      <c r="BNH46" s="182"/>
      <c r="BNI46" s="182"/>
      <c r="BNJ46" s="182"/>
      <c r="BNK46" s="185"/>
      <c r="BNL46" s="182"/>
      <c r="BNM46" s="182"/>
      <c r="BNN46" s="182"/>
      <c r="BNO46" s="182"/>
      <c r="BNP46" s="182"/>
      <c r="BNQ46" s="184"/>
      <c r="BNR46" s="182"/>
      <c r="BNS46" s="182"/>
      <c r="BNT46" s="182"/>
      <c r="BNU46" s="182"/>
      <c r="BNV46" s="182"/>
      <c r="BNW46" s="185"/>
      <c r="BNX46" s="182"/>
      <c r="BNY46" s="182"/>
      <c r="BNZ46" s="182"/>
      <c r="BOA46" s="182"/>
      <c r="BOB46" s="182"/>
      <c r="BOC46" s="186"/>
      <c r="BOD46" s="181"/>
      <c r="BOE46" s="182"/>
      <c r="BOF46" s="182"/>
      <c r="BOG46" s="182"/>
      <c r="BOH46" s="182"/>
      <c r="BOI46" s="183"/>
      <c r="BOJ46" s="182"/>
      <c r="BOK46" s="182"/>
      <c r="BOL46" s="182"/>
      <c r="BOM46" s="182"/>
      <c r="BON46" s="182"/>
      <c r="BOO46" s="184"/>
      <c r="BOP46" s="182"/>
      <c r="BOQ46" s="182"/>
      <c r="BOR46" s="182"/>
      <c r="BOS46" s="182"/>
      <c r="BOT46" s="182"/>
      <c r="BOU46" s="185"/>
      <c r="BOV46" s="182"/>
      <c r="BOW46" s="182"/>
      <c r="BOX46" s="182"/>
      <c r="BOY46" s="182"/>
      <c r="BOZ46" s="182"/>
      <c r="BPA46" s="184"/>
      <c r="BPB46" s="182"/>
      <c r="BPC46" s="182"/>
      <c r="BPD46" s="182"/>
      <c r="BPE46" s="182"/>
      <c r="BPF46" s="182"/>
      <c r="BPG46" s="185"/>
      <c r="BPH46" s="182"/>
      <c r="BPI46" s="182"/>
      <c r="BPJ46" s="182"/>
      <c r="BPK46" s="182"/>
      <c r="BPL46" s="182"/>
      <c r="BPM46" s="184"/>
      <c r="BPN46" s="182"/>
      <c r="BPO46" s="182"/>
      <c r="BPP46" s="182"/>
      <c r="BPQ46" s="182"/>
      <c r="BPR46" s="182"/>
      <c r="BPS46" s="185"/>
      <c r="BPT46" s="182"/>
      <c r="BPU46" s="182"/>
      <c r="BPV46" s="182"/>
      <c r="BPW46" s="182"/>
      <c r="BPX46" s="182"/>
      <c r="BPY46" s="184"/>
      <c r="BPZ46" s="182"/>
      <c r="BQA46" s="182"/>
      <c r="BQB46" s="182"/>
      <c r="BQC46" s="182"/>
      <c r="BQD46" s="182"/>
      <c r="BQE46" s="185"/>
      <c r="BQF46" s="182"/>
      <c r="BQG46" s="182"/>
      <c r="BQH46" s="182"/>
      <c r="BQI46" s="182"/>
      <c r="BQJ46" s="182"/>
      <c r="BQK46" s="186"/>
    </row>
    <row r="47" spans="1:1805" ht="20.100000000000001" customHeight="1" x14ac:dyDescent="0.25">
      <c r="A47" s="84" t="s">
        <v>19</v>
      </c>
      <c r="B47" s="53"/>
      <c r="C47" s="228" t="s">
        <v>16</v>
      </c>
      <c r="D47" s="129" t="str">
        <f t="shared" si="0"/>
        <v>2h25min</v>
      </c>
      <c r="E47" s="34">
        <v>29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61"/>
      <c r="BJO47" s="162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  <c r="BLV47" s="161"/>
      <c r="BLW47" s="162"/>
      <c r="BLX47" s="162"/>
      <c r="BLY47" s="162"/>
      <c r="BLZ47" s="162"/>
      <c r="BMA47" s="163"/>
      <c r="BMB47" s="162"/>
      <c r="BMC47" s="162"/>
      <c r="BMD47" s="162"/>
      <c r="BME47" s="162"/>
      <c r="BMF47" s="162"/>
      <c r="BMG47" s="164"/>
      <c r="BMH47" s="162"/>
      <c r="BMI47" s="162"/>
      <c r="BMJ47" s="162"/>
      <c r="BMK47" s="162"/>
      <c r="BML47" s="162"/>
      <c r="BMM47" s="165"/>
      <c r="BMN47" s="162"/>
      <c r="BMO47" s="162"/>
      <c r="BMP47" s="162"/>
      <c r="BMQ47" s="162"/>
      <c r="BMR47" s="162"/>
      <c r="BMS47" s="164"/>
      <c r="BMT47" s="162"/>
      <c r="BMU47" s="162"/>
      <c r="BMV47" s="162"/>
      <c r="BMW47" s="162"/>
      <c r="BMX47" s="162"/>
      <c r="BMY47" s="165"/>
      <c r="BMZ47" s="162"/>
      <c r="BNA47" s="162"/>
      <c r="BNB47" s="162"/>
      <c r="BNC47" s="162"/>
      <c r="BND47" s="162"/>
      <c r="BNE47" s="164"/>
      <c r="BNF47" s="162"/>
      <c r="BNG47" s="162"/>
      <c r="BNH47" s="162"/>
      <c r="BNI47" s="162"/>
      <c r="BNJ47" s="162"/>
      <c r="BNK47" s="165"/>
      <c r="BNL47" s="162"/>
      <c r="BNM47" s="162"/>
      <c r="BNN47" s="162"/>
      <c r="BNO47" s="162"/>
      <c r="BNP47" s="162"/>
      <c r="BNQ47" s="164"/>
      <c r="BNR47" s="162"/>
      <c r="BNS47" s="162"/>
      <c r="BNT47" s="162"/>
      <c r="BNU47" s="162"/>
      <c r="BNV47" s="162"/>
      <c r="BNW47" s="165"/>
      <c r="BNX47" s="162"/>
      <c r="BNY47" s="162"/>
      <c r="BNZ47" s="162"/>
      <c r="BOA47" s="162"/>
      <c r="BOB47" s="162"/>
      <c r="BOC47" s="166"/>
      <c r="BOD47" s="161"/>
      <c r="BOE47" s="162"/>
      <c r="BOF47" s="162"/>
      <c r="BOG47" s="162"/>
      <c r="BOH47" s="162"/>
      <c r="BOI47" s="163"/>
      <c r="BOJ47" s="162"/>
      <c r="BOK47" s="162"/>
      <c r="BOL47" s="162"/>
      <c r="BOM47" s="162"/>
      <c r="BON47" s="162"/>
      <c r="BOO47" s="164"/>
      <c r="BOP47" s="162"/>
      <c r="BOQ47" s="162"/>
      <c r="BOR47" s="162"/>
      <c r="BOS47" s="162"/>
      <c r="BOT47" s="162"/>
      <c r="BOU47" s="165"/>
      <c r="BOV47" s="162"/>
      <c r="BOW47" s="162"/>
      <c r="BOX47" s="162"/>
      <c r="BOY47" s="162"/>
      <c r="BOZ47" s="162"/>
      <c r="BPA47" s="164"/>
      <c r="BPB47" s="162"/>
      <c r="BPC47" s="162"/>
      <c r="BPD47" s="162"/>
      <c r="BPE47" s="162"/>
      <c r="BPF47" s="162"/>
      <c r="BPG47" s="165"/>
      <c r="BPH47" s="162"/>
      <c r="BPI47" s="162"/>
      <c r="BPJ47" s="162"/>
      <c r="BPK47" s="162"/>
      <c r="BPL47" s="162"/>
      <c r="BPM47" s="164"/>
      <c r="BPN47" s="162"/>
      <c r="BPO47" s="162"/>
      <c r="BPP47" s="162"/>
      <c r="BPQ47" s="162"/>
      <c r="BPR47" s="162"/>
      <c r="BPS47" s="165"/>
      <c r="BPT47" s="162"/>
      <c r="BPU47" s="162"/>
      <c r="BPV47" s="162"/>
      <c r="BPW47" s="162"/>
      <c r="BPX47" s="162"/>
      <c r="BPY47" s="164"/>
      <c r="BPZ47" s="162"/>
      <c r="BQA47" s="162"/>
      <c r="BQB47" s="162"/>
      <c r="BQC47" s="162"/>
      <c r="BQD47" s="162"/>
      <c r="BQE47" s="165"/>
      <c r="BQF47" s="162"/>
      <c r="BQG47" s="162"/>
      <c r="BQH47" s="162"/>
      <c r="BQI47" s="162"/>
      <c r="BQJ47" s="162"/>
      <c r="BQK47" s="166"/>
    </row>
    <row r="48" spans="1:1805" ht="20.100000000000001" customHeight="1" x14ac:dyDescent="0.3">
      <c r="A48" s="84" t="s">
        <v>20</v>
      </c>
      <c r="B48" s="53"/>
      <c r="C48" s="229"/>
      <c r="D48" s="131" t="str">
        <f t="shared" si="0"/>
        <v>0h25min</v>
      </c>
      <c r="E48" s="22">
        <v>5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204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204"/>
      <c r="NC48" s="205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204"/>
      <c r="RS48" s="205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176"/>
      <c r="XH48" s="176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176"/>
      <c r="ACA48" s="179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175"/>
      <c r="ADG48" s="176"/>
      <c r="ADH48" s="176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176"/>
      <c r="AGO48" s="176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176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176"/>
      <c r="AMS48" s="176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  <c r="BLV48" s="175"/>
      <c r="BLW48" s="176"/>
      <c r="BLX48" s="176"/>
      <c r="BLY48" s="176"/>
      <c r="BLZ48" s="176"/>
      <c r="BMA48" s="177"/>
      <c r="BMB48" s="176"/>
      <c r="BMC48" s="176"/>
      <c r="BMD48" s="176"/>
      <c r="BME48" s="176"/>
      <c r="BMF48" s="176"/>
      <c r="BMG48" s="178"/>
      <c r="BMH48" s="176"/>
      <c r="BMI48" s="176"/>
      <c r="BMJ48" s="176"/>
      <c r="BMK48" s="176"/>
      <c r="BML48" s="176"/>
      <c r="BMM48" s="179"/>
      <c r="BMN48" s="176"/>
      <c r="BMO48" s="176"/>
      <c r="BMP48" s="176"/>
      <c r="BMQ48" s="176"/>
      <c r="BMR48" s="176"/>
      <c r="BMS48" s="178"/>
      <c r="BMT48" s="176"/>
      <c r="BMU48" s="176"/>
      <c r="BMV48" s="176"/>
      <c r="BMW48" s="176"/>
      <c r="BMX48" s="176"/>
      <c r="BMY48" s="179"/>
      <c r="BMZ48" s="176"/>
      <c r="BNA48" s="176"/>
      <c r="BNB48" s="176"/>
      <c r="BNC48" s="176"/>
      <c r="BND48" s="176"/>
      <c r="BNE48" s="178"/>
      <c r="BNF48" s="176"/>
      <c r="BNG48" s="176"/>
      <c r="BNH48" s="176"/>
      <c r="BNI48" s="176"/>
      <c r="BNJ48" s="176"/>
      <c r="BNK48" s="179"/>
      <c r="BNL48" s="176"/>
      <c r="BNM48" s="176"/>
      <c r="BNN48" s="176"/>
      <c r="BNO48" s="176"/>
      <c r="BNP48" s="176"/>
      <c r="BNQ48" s="178"/>
      <c r="BNR48" s="176"/>
      <c r="BNS48" s="176"/>
      <c r="BNT48" s="176"/>
      <c r="BNU48" s="176"/>
      <c r="BNV48" s="176"/>
      <c r="BNW48" s="179"/>
      <c r="BNX48" s="176"/>
      <c r="BNY48" s="176"/>
      <c r="BNZ48" s="176"/>
      <c r="BOA48" s="176"/>
      <c r="BOB48" s="176"/>
      <c r="BOC48" s="180"/>
      <c r="BOD48" s="175"/>
      <c r="BOE48" s="176"/>
      <c r="BOF48" s="176"/>
      <c r="BOG48" s="176"/>
      <c r="BOH48" s="176"/>
      <c r="BOI48" s="177"/>
      <c r="BOJ48" s="176"/>
      <c r="BOK48" s="176"/>
      <c r="BOL48" s="176"/>
      <c r="BOM48" s="176"/>
      <c r="BON48" s="176"/>
      <c r="BOO48" s="178"/>
      <c r="BOP48" s="176"/>
      <c r="BOQ48" s="176"/>
      <c r="BOR48" s="176"/>
      <c r="BOS48" s="176"/>
      <c r="BOT48" s="176"/>
      <c r="BOU48" s="179"/>
      <c r="BOV48" s="176"/>
      <c r="BOW48" s="176"/>
      <c r="BOX48" s="176"/>
      <c r="BOY48" s="176"/>
      <c r="BOZ48" s="176"/>
      <c r="BPA48" s="178"/>
      <c r="BPB48" s="176"/>
      <c r="BPC48" s="176"/>
      <c r="BPD48" s="176"/>
      <c r="BPE48" s="176"/>
      <c r="BPF48" s="176"/>
      <c r="BPG48" s="179"/>
      <c r="BPH48" s="176"/>
      <c r="BPI48" s="176"/>
      <c r="BPJ48" s="176"/>
      <c r="BPK48" s="176"/>
      <c r="BPL48" s="176"/>
      <c r="BPM48" s="178"/>
      <c r="BPN48" s="176"/>
      <c r="BPO48" s="176"/>
      <c r="BPP48" s="176"/>
      <c r="BPQ48" s="176"/>
      <c r="BPR48" s="176"/>
      <c r="BPS48" s="179"/>
      <c r="BPT48" s="176"/>
      <c r="BPU48" s="176"/>
      <c r="BPV48" s="176"/>
      <c r="BPW48" s="176"/>
      <c r="BPX48" s="176"/>
      <c r="BPY48" s="178"/>
      <c r="BPZ48" s="176"/>
      <c r="BQA48" s="176"/>
      <c r="BQB48" s="176"/>
      <c r="BQC48" s="176"/>
      <c r="BQD48" s="176"/>
      <c r="BQE48" s="179"/>
      <c r="BQF48" s="176"/>
      <c r="BQG48" s="176"/>
      <c r="BQH48" s="176"/>
      <c r="BQI48" s="176"/>
      <c r="BQJ48" s="176"/>
      <c r="BQK48" s="180"/>
    </row>
    <row r="49" spans="1:1805" ht="20.100000000000001" customHeight="1" x14ac:dyDescent="0.25">
      <c r="A49" s="84" t="s">
        <v>19</v>
      </c>
      <c r="B49" s="53"/>
      <c r="C49" s="228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  <c r="BLV49" s="155"/>
      <c r="BLW49" s="156"/>
      <c r="BLX49" s="156"/>
      <c r="BLY49" s="156"/>
      <c r="BLZ49" s="156"/>
      <c r="BMA49" s="157"/>
      <c r="BMB49" s="156"/>
      <c r="BMC49" s="156"/>
      <c r="BMD49" s="156"/>
      <c r="BME49" s="156"/>
      <c r="BMF49" s="156"/>
      <c r="BMG49" s="158"/>
      <c r="BMH49" s="156"/>
      <c r="BMI49" s="156"/>
      <c r="BMJ49" s="156"/>
      <c r="BMK49" s="156"/>
      <c r="BML49" s="156"/>
      <c r="BMM49" s="159"/>
      <c r="BMN49" s="156"/>
      <c r="BMO49" s="156"/>
      <c r="BMP49" s="156"/>
      <c r="BMQ49" s="156"/>
      <c r="BMR49" s="156"/>
      <c r="BMS49" s="158"/>
      <c r="BMT49" s="156"/>
      <c r="BMU49" s="156"/>
      <c r="BMV49" s="156"/>
      <c r="BMW49" s="156"/>
      <c r="BMX49" s="156"/>
      <c r="BMY49" s="159"/>
      <c r="BMZ49" s="156"/>
      <c r="BNA49" s="156"/>
      <c r="BNB49" s="156"/>
      <c r="BNC49" s="156"/>
      <c r="BND49" s="156"/>
      <c r="BNE49" s="158"/>
      <c r="BNF49" s="156"/>
      <c r="BNG49" s="156"/>
      <c r="BNH49" s="156"/>
      <c r="BNI49" s="156"/>
      <c r="BNJ49" s="156"/>
      <c r="BNK49" s="159"/>
      <c r="BNL49" s="156"/>
      <c r="BNM49" s="156"/>
      <c r="BNN49" s="156"/>
      <c r="BNO49" s="156"/>
      <c r="BNP49" s="156"/>
      <c r="BNQ49" s="158"/>
      <c r="BNR49" s="156"/>
      <c r="BNS49" s="156"/>
      <c r="BNT49" s="156"/>
      <c r="BNU49" s="156"/>
      <c r="BNV49" s="156"/>
      <c r="BNW49" s="159"/>
      <c r="BNX49" s="156"/>
      <c r="BNY49" s="156"/>
      <c r="BNZ49" s="156"/>
      <c r="BOA49" s="156"/>
      <c r="BOB49" s="156"/>
      <c r="BOC49" s="160"/>
      <c r="BOD49" s="155"/>
      <c r="BOE49" s="156"/>
      <c r="BOF49" s="156"/>
      <c r="BOG49" s="156"/>
      <c r="BOH49" s="156"/>
      <c r="BOI49" s="157"/>
      <c r="BOJ49" s="156"/>
      <c r="BOK49" s="156"/>
      <c r="BOL49" s="156"/>
      <c r="BOM49" s="156"/>
      <c r="BON49" s="156"/>
      <c r="BOO49" s="158"/>
      <c r="BOP49" s="156"/>
      <c r="BOQ49" s="156"/>
      <c r="BOR49" s="156"/>
      <c r="BOS49" s="156"/>
      <c r="BOT49" s="156"/>
      <c r="BOU49" s="159"/>
      <c r="BOV49" s="156"/>
      <c r="BOW49" s="156"/>
      <c r="BOX49" s="156"/>
      <c r="BOY49" s="156"/>
      <c r="BOZ49" s="156"/>
      <c r="BPA49" s="158"/>
      <c r="BPB49" s="156"/>
      <c r="BPC49" s="156"/>
      <c r="BPD49" s="156"/>
      <c r="BPE49" s="156"/>
      <c r="BPF49" s="156"/>
      <c r="BPG49" s="159"/>
      <c r="BPH49" s="156"/>
      <c r="BPI49" s="156"/>
      <c r="BPJ49" s="156"/>
      <c r="BPK49" s="156"/>
      <c r="BPL49" s="156"/>
      <c r="BPM49" s="158"/>
      <c r="BPN49" s="156"/>
      <c r="BPO49" s="156"/>
      <c r="BPP49" s="156"/>
      <c r="BPQ49" s="156"/>
      <c r="BPR49" s="156"/>
      <c r="BPS49" s="159"/>
      <c r="BPT49" s="156"/>
      <c r="BPU49" s="156"/>
      <c r="BPV49" s="156"/>
      <c r="BPW49" s="156"/>
      <c r="BPX49" s="156"/>
      <c r="BPY49" s="158"/>
      <c r="BPZ49" s="156"/>
      <c r="BQA49" s="156"/>
      <c r="BQB49" s="156"/>
      <c r="BQC49" s="156"/>
      <c r="BQD49" s="156"/>
      <c r="BQE49" s="159"/>
      <c r="BQF49" s="156"/>
      <c r="BQG49" s="156"/>
      <c r="BQH49" s="156"/>
      <c r="BQI49" s="156"/>
      <c r="BQJ49" s="156"/>
      <c r="BQK49" s="160"/>
    </row>
    <row r="50" spans="1:1805" ht="20.100000000000001" customHeight="1" x14ac:dyDescent="0.3">
      <c r="A50" s="84" t="s">
        <v>20</v>
      </c>
      <c r="B50" s="53"/>
      <c r="C50" s="229"/>
      <c r="D50" s="131" t="str">
        <f t="shared" si="0"/>
        <v>0h45min</v>
      </c>
      <c r="E50" s="30">
        <v>9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206"/>
      <c r="IZ50" s="206"/>
      <c r="JA50" s="206"/>
      <c r="JB50" s="206"/>
      <c r="JC50" s="209"/>
      <c r="JD50" s="206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206"/>
      <c r="ON50" s="206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206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182"/>
      <c r="UD50" s="182"/>
      <c r="UE50" s="183"/>
      <c r="UF50" s="182"/>
      <c r="UG50" s="182"/>
      <c r="UH50" s="182"/>
      <c r="UI50" s="182"/>
      <c r="UJ50" s="182"/>
      <c r="UK50" s="184"/>
      <c r="UL50" s="182"/>
      <c r="UM50" s="182"/>
      <c r="UN50" s="182"/>
      <c r="UO50" s="182"/>
      <c r="UP50" s="182"/>
      <c r="UQ50" s="185"/>
      <c r="UR50" s="182"/>
      <c r="US50" s="182"/>
      <c r="UT50" s="182"/>
      <c r="UU50" s="182"/>
      <c r="UV50" s="182"/>
      <c r="UW50" s="184"/>
      <c r="UX50" s="182"/>
      <c r="UY50" s="182"/>
      <c r="UZ50" s="182"/>
      <c r="VA50" s="182"/>
      <c r="VB50" s="182"/>
      <c r="VC50" s="185"/>
      <c r="VD50" s="182"/>
      <c r="VE50" s="182"/>
      <c r="VF50" s="182"/>
      <c r="VG50" s="182"/>
      <c r="VH50" s="182"/>
      <c r="VI50" s="184"/>
      <c r="VJ50" s="182"/>
      <c r="VK50" s="182"/>
      <c r="VL50" s="182"/>
      <c r="VM50" s="182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181"/>
      <c r="WI50" s="182"/>
      <c r="WJ50" s="182"/>
      <c r="WK50" s="182"/>
      <c r="WL50" s="182"/>
      <c r="WM50" s="183"/>
      <c r="WN50" s="182"/>
      <c r="WO50" s="182"/>
      <c r="WP50" s="182"/>
      <c r="WQ50" s="182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181"/>
      <c r="YQ50" s="182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182"/>
      <c r="AGW50" s="184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182"/>
      <c r="ALO50" s="182"/>
      <c r="ALP50" s="182"/>
      <c r="ALQ50" s="182"/>
      <c r="ALR50" s="182"/>
      <c r="ALS50" s="185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182"/>
      <c r="AMU50" s="182"/>
      <c r="AMV50" s="182"/>
      <c r="AMW50" s="184"/>
      <c r="AMX50" s="182"/>
      <c r="AMY50" s="182"/>
      <c r="AMZ50" s="182"/>
      <c r="ANA50" s="182"/>
      <c r="ANB50" s="182"/>
      <c r="ANC50" s="185"/>
      <c r="AND50" s="182"/>
      <c r="ANE50" s="182"/>
      <c r="ANF50" s="182"/>
      <c r="ANG50" s="182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  <c r="BLV50" s="181"/>
      <c r="BLW50" s="182"/>
      <c r="BLX50" s="182"/>
      <c r="BLY50" s="182"/>
      <c r="BLZ50" s="182"/>
      <c r="BMA50" s="183"/>
      <c r="BMB50" s="182"/>
      <c r="BMC50" s="182"/>
      <c r="BMD50" s="182"/>
      <c r="BME50" s="182"/>
      <c r="BMF50" s="182"/>
      <c r="BMG50" s="184"/>
      <c r="BMH50" s="182"/>
      <c r="BMI50" s="182"/>
      <c r="BMJ50" s="182"/>
      <c r="BMK50" s="182"/>
      <c r="BML50" s="182"/>
      <c r="BMM50" s="185"/>
      <c r="BMN50" s="182"/>
      <c r="BMO50" s="182"/>
      <c r="BMP50" s="182"/>
      <c r="BMQ50" s="182"/>
      <c r="BMR50" s="182"/>
      <c r="BMS50" s="184"/>
      <c r="BMT50" s="182"/>
      <c r="BMU50" s="182"/>
      <c r="BMV50" s="182"/>
      <c r="BMW50" s="182"/>
      <c r="BMX50" s="182"/>
      <c r="BMY50" s="185"/>
      <c r="BMZ50" s="182"/>
      <c r="BNA50" s="182"/>
      <c r="BNB50" s="182"/>
      <c r="BNC50" s="182"/>
      <c r="BND50" s="182"/>
      <c r="BNE50" s="184"/>
      <c r="BNF50" s="182"/>
      <c r="BNG50" s="182"/>
      <c r="BNH50" s="182"/>
      <c r="BNI50" s="182"/>
      <c r="BNJ50" s="182"/>
      <c r="BNK50" s="185"/>
      <c r="BNL50" s="182"/>
      <c r="BNM50" s="182"/>
      <c r="BNN50" s="182"/>
      <c r="BNO50" s="182"/>
      <c r="BNP50" s="182"/>
      <c r="BNQ50" s="184"/>
      <c r="BNR50" s="182"/>
      <c r="BNS50" s="182"/>
      <c r="BNT50" s="182"/>
      <c r="BNU50" s="182"/>
      <c r="BNV50" s="182"/>
      <c r="BNW50" s="185"/>
      <c r="BNX50" s="182"/>
      <c r="BNY50" s="182"/>
      <c r="BNZ50" s="182"/>
      <c r="BOA50" s="182"/>
      <c r="BOB50" s="182"/>
      <c r="BOC50" s="186"/>
      <c r="BOD50" s="181"/>
      <c r="BOE50" s="182"/>
      <c r="BOF50" s="182"/>
      <c r="BOG50" s="182"/>
      <c r="BOH50" s="182"/>
      <c r="BOI50" s="183"/>
      <c r="BOJ50" s="182"/>
      <c r="BOK50" s="182"/>
      <c r="BOL50" s="182"/>
      <c r="BOM50" s="182"/>
      <c r="BON50" s="182"/>
      <c r="BOO50" s="184"/>
      <c r="BOP50" s="182"/>
      <c r="BOQ50" s="182"/>
      <c r="BOR50" s="182"/>
      <c r="BOS50" s="182"/>
      <c r="BOT50" s="182"/>
      <c r="BOU50" s="185"/>
      <c r="BOV50" s="182"/>
      <c r="BOW50" s="182"/>
      <c r="BOX50" s="182"/>
      <c r="BOY50" s="182"/>
      <c r="BOZ50" s="182"/>
      <c r="BPA50" s="184"/>
      <c r="BPB50" s="182"/>
      <c r="BPC50" s="182"/>
      <c r="BPD50" s="182"/>
      <c r="BPE50" s="182"/>
      <c r="BPF50" s="182"/>
      <c r="BPG50" s="185"/>
      <c r="BPH50" s="182"/>
      <c r="BPI50" s="182"/>
      <c r="BPJ50" s="182"/>
      <c r="BPK50" s="182"/>
      <c r="BPL50" s="182"/>
      <c r="BPM50" s="184"/>
      <c r="BPN50" s="182"/>
      <c r="BPO50" s="182"/>
      <c r="BPP50" s="182"/>
      <c r="BPQ50" s="182"/>
      <c r="BPR50" s="182"/>
      <c r="BPS50" s="185"/>
      <c r="BPT50" s="182"/>
      <c r="BPU50" s="182"/>
      <c r="BPV50" s="182"/>
      <c r="BPW50" s="182"/>
      <c r="BPX50" s="182"/>
      <c r="BPY50" s="184"/>
      <c r="BPZ50" s="182"/>
      <c r="BQA50" s="182"/>
      <c r="BQB50" s="182"/>
      <c r="BQC50" s="182"/>
      <c r="BQD50" s="182"/>
      <c r="BQE50" s="185"/>
      <c r="BQF50" s="182"/>
      <c r="BQG50" s="182"/>
      <c r="BQH50" s="182"/>
      <c r="BQI50" s="182"/>
      <c r="BQJ50" s="182"/>
      <c r="BQK50" s="186"/>
    </row>
    <row r="51" spans="1:1805" ht="20.100000000000001" customHeight="1" x14ac:dyDescent="0.25">
      <c r="A51" s="84" t="s">
        <v>19</v>
      </c>
      <c r="B51" s="53"/>
      <c r="C51" s="228" t="s">
        <v>77</v>
      </c>
      <c r="D51" s="129" t="str">
        <f t="shared" si="0"/>
        <v>4h30min</v>
      </c>
      <c r="E51" s="34">
        <v>54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2"/>
      <c r="BJQ51" s="162"/>
      <c r="BJR51" s="162"/>
      <c r="BJS51" s="163"/>
      <c r="BJT51" s="162"/>
      <c r="BJU51" s="162"/>
      <c r="BJV51" s="162"/>
      <c r="BJW51" s="162"/>
      <c r="BJX51" s="162"/>
      <c r="BJY51" s="164"/>
      <c r="BJZ51" s="162"/>
      <c r="BKA51" s="162"/>
      <c r="BKB51" s="162"/>
      <c r="BKC51" s="162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  <c r="BLV51" s="161"/>
      <c r="BLW51" s="162"/>
      <c r="BLX51" s="162"/>
      <c r="BLY51" s="162"/>
      <c r="BLZ51" s="162"/>
      <c r="BMA51" s="163"/>
      <c r="BMB51" s="162"/>
      <c r="BMC51" s="162"/>
      <c r="BMD51" s="162"/>
      <c r="BME51" s="162"/>
      <c r="BMF51" s="162"/>
      <c r="BMG51" s="164"/>
      <c r="BMH51" s="162"/>
      <c r="BMI51" s="162"/>
      <c r="BMJ51" s="162"/>
      <c r="BMK51" s="162"/>
      <c r="BML51" s="162"/>
      <c r="BMM51" s="165"/>
      <c r="BMN51" s="162"/>
      <c r="BMO51" s="162"/>
      <c r="BMP51" s="162"/>
      <c r="BMQ51" s="162"/>
      <c r="BMR51" s="162"/>
      <c r="BMS51" s="164"/>
      <c r="BMT51" s="162"/>
      <c r="BMU51" s="162"/>
      <c r="BMV51" s="162"/>
      <c r="BMW51" s="162"/>
      <c r="BMX51" s="162"/>
      <c r="BMY51" s="165"/>
      <c r="BMZ51" s="162"/>
      <c r="BNA51" s="162"/>
      <c r="BNB51" s="162"/>
      <c r="BNC51" s="162"/>
      <c r="BND51" s="162"/>
      <c r="BNE51" s="164"/>
      <c r="BNF51" s="162"/>
      <c r="BNG51" s="162"/>
      <c r="BNH51" s="162"/>
      <c r="BNI51" s="162"/>
      <c r="BNJ51" s="162"/>
      <c r="BNK51" s="165"/>
      <c r="BNL51" s="162"/>
      <c r="BNM51" s="162"/>
      <c r="BNN51" s="162"/>
      <c r="BNO51" s="162"/>
      <c r="BNP51" s="162"/>
      <c r="BNQ51" s="164"/>
      <c r="BNR51" s="162"/>
      <c r="BNS51" s="162"/>
      <c r="BNT51" s="162"/>
      <c r="BNU51" s="162"/>
      <c r="BNV51" s="162"/>
      <c r="BNW51" s="165"/>
      <c r="BNX51" s="162"/>
      <c r="BNY51" s="162"/>
      <c r="BNZ51" s="162"/>
      <c r="BOA51" s="162"/>
      <c r="BOB51" s="162"/>
      <c r="BOC51" s="166"/>
      <c r="BOD51" s="161"/>
      <c r="BOE51" s="162"/>
      <c r="BOF51" s="162"/>
      <c r="BOG51" s="162"/>
      <c r="BOH51" s="162"/>
      <c r="BOI51" s="163"/>
      <c r="BOJ51" s="162"/>
      <c r="BOK51" s="162"/>
      <c r="BOL51" s="162"/>
      <c r="BOM51" s="162"/>
      <c r="BON51" s="162"/>
      <c r="BOO51" s="164"/>
      <c r="BOP51" s="162"/>
      <c r="BOQ51" s="162"/>
      <c r="BOR51" s="162"/>
      <c r="BOS51" s="162"/>
      <c r="BOT51" s="162"/>
      <c r="BOU51" s="165"/>
      <c r="BOV51" s="162"/>
      <c r="BOW51" s="162"/>
      <c r="BOX51" s="162"/>
      <c r="BOY51" s="162"/>
      <c r="BOZ51" s="162"/>
      <c r="BPA51" s="164"/>
      <c r="BPB51" s="162"/>
      <c r="BPC51" s="162"/>
      <c r="BPD51" s="162"/>
      <c r="BPE51" s="162"/>
      <c r="BPF51" s="162"/>
      <c r="BPG51" s="165"/>
      <c r="BPH51" s="162"/>
      <c r="BPI51" s="162"/>
      <c r="BPJ51" s="162"/>
      <c r="BPK51" s="162"/>
      <c r="BPL51" s="162"/>
      <c r="BPM51" s="164"/>
      <c r="BPN51" s="162"/>
      <c r="BPO51" s="162"/>
      <c r="BPP51" s="162"/>
      <c r="BPQ51" s="162"/>
      <c r="BPR51" s="162"/>
      <c r="BPS51" s="165"/>
      <c r="BPT51" s="162"/>
      <c r="BPU51" s="162"/>
      <c r="BPV51" s="162"/>
      <c r="BPW51" s="162"/>
      <c r="BPX51" s="162"/>
      <c r="BPY51" s="164"/>
      <c r="BPZ51" s="162"/>
      <c r="BQA51" s="162"/>
      <c r="BQB51" s="162"/>
      <c r="BQC51" s="162"/>
      <c r="BQD51" s="162"/>
      <c r="BQE51" s="165"/>
      <c r="BQF51" s="162"/>
      <c r="BQG51" s="162"/>
      <c r="BQH51" s="162"/>
      <c r="BQI51" s="162"/>
      <c r="BQJ51" s="162"/>
      <c r="BQK51" s="166"/>
    </row>
    <row r="52" spans="1:1805" ht="20.100000000000001" customHeight="1" x14ac:dyDescent="0.25">
      <c r="A52" s="84" t="s">
        <v>20</v>
      </c>
      <c r="B52" s="53"/>
      <c r="C52" s="229"/>
      <c r="D52" s="130" t="str">
        <f t="shared" si="0"/>
        <v>0h</v>
      </c>
      <c r="E52" s="22">
        <v>0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  <c r="BLV52" s="175"/>
      <c r="BLW52" s="176"/>
      <c r="BLX52" s="176"/>
      <c r="BLY52" s="176"/>
      <c r="BLZ52" s="176"/>
      <c r="BMA52" s="177"/>
      <c r="BMB52" s="176"/>
      <c r="BMC52" s="176"/>
      <c r="BMD52" s="176"/>
      <c r="BME52" s="176"/>
      <c r="BMF52" s="176"/>
      <c r="BMG52" s="178"/>
      <c r="BMH52" s="176"/>
      <c r="BMI52" s="176"/>
      <c r="BMJ52" s="176"/>
      <c r="BMK52" s="176"/>
      <c r="BML52" s="176"/>
      <c r="BMM52" s="185"/>
      <c r="BMN52" s="176"/>
      <c r="BMO52" s="176"/>
      <c r="BMP52" s="176"/>
      <c r="BMQ52" s="176"/>
      <c r="BMR52" s="176"/>
      <c r="BMS52" s="178"/>
      <c r="BMT52" s="176"/>
      <c r="BMU52" s="176"/>
      <c r="BMV52" s="176"/>
      <c r="BMW52" s="176"/>
      <c r="BMX52" s="176"/>
      <c r="BMY52" s="185"/>
      <c r="BMZ52" s="176"/>
      <c r="BNA52" s="176"/>
      <c r="BNB52" s="176"/>
      <c r="BNC52" s="176"/>
      <c r="BND52" s="176"/>
      <c r="BNE52" s="178"/>
      <c r="BNF52" s="176"/>
      <c r="BNG52" s="176"/>
      <c r="BNH52" s="176"/>
      <c r="BNI52" s="176"/>
      <c r="BNJ52" s="182"/>
      <c r="BNK52" s="185"/>
      <c r="BNL52" s="176"/>
      <c r="BNM52" s="176"/>
      <c r="BNN52" s="176"/>
      <c r="BNO52" s="176"/>
      <c r="BNP52" s="176"/>
      <c r="BNQ52" s="178"/>
      <c r="BNR52" s="176"/>
      <c r="BNS52" s="176"/>
      <c r="BNT52" s="176"/>
      <c r="BNU52" s="176"/>
      <c r="BNV52" s="176"/>
      <c r="BNW52" s="185"/>
      <c r="BNX52" s="176"/>
      <c r="BNY52" s="176"/>
      <c r="BNZ52" s="176"/>
      <c r="BOA52" s="176"/>
      <c r="BOB52" s="176"/>
      <c r="BOC52" s="180"/>
      <c r="BOD52" s="175"/>
      <c r="BOE52" s="176"/>
      <c r="BOF52" s="176"/>
      <c r="BOG52" s="176"/>
      <c r="BOH52" s="176"/>
      <c r="BOI52" s="177"/>
      <c r="BOJ52" s="176"/>
      <c r="BOK52" s="176"/>
      <c r="BOL52" s="176"/>
      <c r="BOM52" s="176"/>
      <c r="BON52" s="176"/>
      <c r="BOO52" s="178"/>
      <c r="BOP52" s="176"/>
      <c r="BOQ52" s="176"/>
      <c r="BOR52" s="176"/>
      <c r="BOS52" s="176"/>
      <c r="BOT52" s="176"/>
      <c r="BOU52" s="185"/>
      <c r="BOV52" s="176"/>
      <c r="BOW52" s="176"/>
      <c r="BOX52" s="176"/>
      <c r="BOY52" s="176"/>
      <c r="BOZ52" s="176"/>
      <c r="BPA52" s="178"/>
      <c r="BPB52" s="176"/>
      <c r="BPC52" s="176"/>
      <c r="BPD52" s="176"/>
      <c r="BPE52" s="176"/>
      <c r="BPF52" s="176"/>
      <c r="BPG52" s="185"/>
      <c r="BPH52" s="176"/>
      <c r="BPI52" s="176"/>
      <c r="BPJ52" s="176"/>
      <c r="BPK52" s="176"/>
      <c r="BPL52" s="176"/>
      <c r="BPM52" s="178"/>
      <c r="BPN52" s="176"/>
      <c r="BPO52" s="176"/>
      <c r="BPP52" s="176"/>
      <c r="BPQ52" s="176"/>
      <c r="BPR52" s="182"/>
      <c r="BPS52" s="185"/>
      <c r="BPT52" s="176"/>
      <c r="BPU52" s="176"/>
      <c r="BPV52" s="176"/>
      <c r="BPW52" s="176"/>
      <c r="BPX52" s="176"/>
      <c r="BPY52" s="178"/>
      <c r="BPZ52" s="176"/>
      <c r="BQA52" s="176"/>
      <c r="BQB52" s="176"/>
      <c r="BQC52" s="176"/>
      <c r="BQD52" s="176"/>
      <c r="BQE52" s="185"/>
      <c r="BQF52" s="176"/>
      <c r="BQG52" s="176"/>
      <c r="BQH52" s="176"/>
      <c r="BQI52" s="176"/>
      <c r="BQJ52" s="176"/>
      <c r="BQK52" s="180"/>
    </row>
    <row r="53" spans="1:1805" ht="20.100000000000001" customHeight="1" x14ac:dyDescent="0.25">
      <c r="A53" s="84" t="s">
        <v>19</v>
      </c>
      <c r="B53" s="53"/>
      <c r="C53" s="228" t="s">
        <v>78</v>
      </c>
      <c r="D53" s="129" t="str">
        <f t="shared" si="0"/>
        <v>3h40min</v>
      </c>
      <c r="E53" s="26">
        <v>44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56"/>
      <c r="BKE53" s="159"/>
      <c r="BKF53" s="156"/>
      <c r="BKG53" s="156"/>
      <c r="BKH53" s="156"/>
      <c r="BKI53" s="156"/>
      <c r="BKJ53" s="156"/>
      <c r="BKK53" s="158"/>
      <c r="BKL53" s="156"/>
      <c r="BKM53" s="156"/>
      <c r="BKN53" s="156"/>
      <c r="BKO53" s="156"/>
      <c r="BKP53" s="156"/>
      <c r="BKQ53" s="159"/>
      <c r="BKR53" s="156"/>
      <c r="BKS53" s="156"/>
      <c r="BKT53" s="156"/>
      <c r="BKU53" s="156"/>
      <c r="BKV53" s="156"/>
      <c r="BKW53" s="158"/>
      <c r="BKX53" s="156"/>
      <c r="BKY53" s="156"/>
      <c r="BKZ53" s="156"/>
      <c r="BLA53" s="156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  <c r="BLV53" s="155"/>
      <c r="BLW53" s="156"/>
      <c r="BLX53" s="156"/>
      <c r="BLY53" s="156"/>
      <c r="BLZ53" s="156"/>
      <c r="BMA53" s="157"/>
      <c r="BMB53" s="156"/>
      <c r="BMC53" s="156"/>
      <c r="BMD53" s="156"/>
      <c r="BME53" s="156"/>
      <c r="BMF53" s="156"/>
      <c r="BMG53" s="158"/>
      <c r="BMH53" s="156"/>
      <c r="BMI53" s="156"/>
      <c r="BMJ53" s="156"/>
      <c r="BMK53" s="156"/>
      <c r="BML53" s="156"/>
      <c r="BMM53" s="159"/>
      <c r="BMN53" s="156"/>
      <c r="BMO53" s="156"/>
      <c r="BMP53" s="156"/>
      <c r="BMQ53" s="156"/>
      <c r="BMR53" s="156"/>
      <c r="BMS53" s="158"/>
      <c r="BMT53" s="156"/>
      <c r="BMU53" s="156"/>
      <c r="BMV53" s="156"/>
      <c r="BMW53" s="156"/>
      <c r="BMX53" s="156"/>
      <c r="BMY53" s="159"/>
      <c r="BMZ53" s="156"/>
      <c r="BNA53" s="156"/>
      <c r="BNB53" s="156"/>
      <c r="BNC53" s="156"/>
      <c r="BND53" s="156"/>
      <c r="BNE53" s="158"/>
      <c r="BNF53" s="156"/>
      <c r="BNG53" s="156"/>
      <c r="BNH53" s="156"/>
      <c r="BNI53" s="156"/>
      <c r="BNJ53" s="156"/>
      <c r="BNK53" s="159"/>
      <c r="BNL53" s="156"/>
      <c r="BNM53" s="156"/>
      <c r="BNN53" s="156"/>
      <c r="BNO53" s="156"/>
      <c r="BNP53" s="156"/>
      <c r="BNQ53" s="158"/>
      <c r="BNR53" s="156"/>
      <c r="BNS53" s="156"/>
      <c r="BNT53" s="156"/>
      <c r="BNU53" s="156"/>
      <c r="BNV53" s="156"/>
      <c r="BNW53" s="159"/>
      <c r="BNX53" s="156"/>
      <c r="BNY53" s="156"/>
      <c r="BNZ53" s="156"/>
      <c r="BOA53" s="156"/>
      <c r="BOB53" s="156"/>
      <c r="BOC53" s="160"/>
      <c r="BOD53" s="155"/>
      <c r="BOE53" s="156"/>
      <c r="BOF53" s="156"/>
      <c r="BOG53" s="156"/>
      <c r="BOH53" s="156"/>
      <c r="BOI53" s="157"/>
      <c r="BOJ53" s="156"/>
      <c r="BOK53" s="156"/>
      <c r="BOL53" s="156"/>
      <c r="BOM53" s="156"/>
      <c r="BON53" s="156"/>
      <c r="BOO53" s="158"/>
      <c r="BOP53" s="156"/>
      <c r="BOQ53" s="156"/>
      <c r="BOR53" s="156"/>
      <c r="BOS53" s="156"/>
      <c r="BOT53" s="156"/>
      <c r="BOU53" s="159"/>
      <c r="BOV53" s="156"/>
      <c r="BOW53" s="156"/>
      <c r="BOX53" s="156"/>
      <c r="BOY53" s="156"/>
      <c r="BOZ53" s="156"/>
      <c r="BPA53" s="158"/>
      <c r="BPB53" s="156"/>
      <c r="BPC53" s="156"/>
      <c r="BPD53" s="156"/>
      <c r="BPE53" s="156"/>
      <c r="BPF53" s="156"/>
      <c r="BPG53" s="159"/>
      <c r="BPH53" s="156"/>
      <c r="BPI53" s="156"/>
      <c r="BPJ53" s="156"/>
      <c r="BPK53" s="156"/>
      <c r="BPL53" s="156"/>
      <c r="BPM53" s="158"/>
      <c r="BPN53" s="156"/>
      <c r="BPO53" s="156"/>
      <c r="BPP53" s="156"/>
      <c r="BPQ53" s="156"/>
      <c r="BPR53" s="156"/>
      <c r="BPS53" s="159"/>
      <c r="BPT53" s="156"/>
      <c r="BPU53" s="156"/>
      <c r="BPV53" s="156"/>
      <c r="BPW53" s="156"/>
      <c r="BPX53" s="156"/>
      <c r="BPY53" s="158"/>
      <c r="BPZ53" s="156"/>
      <c r="BQA53" s="156"/>
      <c r="BQB53" s="156"/>
      <c r="BQC53" s="156"/>
      <c r="BQD53" s="156"/>
      <c r="BQE53" s="159"/>
      <c r="BQF53" s="156"/>
      <c r="BQG53" s="156"/>
      <c r="BQH53" s="156"/>
      <c r="BQI53" s="156"/>
      <c r="BQJ53" s="156"/>
      <c r="BQK53" s="160"/>
    </row>
    <row r="54" spans="1:1805" ht="20.100000000000001" customHeight="1" x14ac:dyDescent="0.3">
      <c r="A54" s="84" t="s">
        <v>20</v>
      </c>
      <c r="B54" s="53"/>
      <c r="C54" s="229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  <c r="BLV54" s="181"/>
      <c r="BLW54" s="182"/>
      <c r="BLX54" s="182"/>
      <c r="BLY54" s="182"/>
      <c r="BLZ54" s="182"/>
      <c r="BMA54" s="183"/>
      <c r="BMB54" s="182"/>
      <c r="BMC54" s="182"/>
      <c r="BMD54" s="182"/>
      <c r="BME54" s="182"/>
      <c r="BMF54" s="182"/>
      <c r="BMG54" s="184"/>
      <c r="BMH54" s="182"/>
      <c r="BMI54" s="182"/>
      <c r="BMJ54" s="182"/>
      <c r="BMK54" s="182"/>
      <c r="BML54" s="182"/>
      <c r="BMM54" s="185"/>
      <c r="BMN54" s="182"/>
      <c r="BMO54" s="182"/>
      <c r="BMP54" s="182"/>
      <c r="BMQ54" s="182"/>
      <c r="BMR54" s="182"/>
      <c r="BMS54" s="184"/>
      <c r="BMT54" s="182"/>
      <c r="BMU54" s="182"/>
      <c r="BMV54" s="182"/>
      <c r="BMW54" s="182"/>
      <c r="BMX54" s="182"/>
      <c r="BMY54" s="185"/>
      <c r="BMZ54" s="182"/>
      <c r="BNA54" s="182"/>
      <c r="BNB54" s="182"/>
      <c r="BNC54" s="182"/>
      <c r="BND54" s="182"/>
      <c r="BNE54" s="184"/>
      <c r="BNF54" s="182"/>
      <c r="BNG54" s="182"/>
      <c r="BNH54" s="182"/>
      <c r="BNI54" s="182"/>
      <c r="BNJ54" s="182"/>
      <c r="BNK54" s="185"/>
      <c r="BNL54" s="182"/>
      <c r="BNM54" s="182"/>
      <c r="BNN54" s="182"/>
      <c r="BNO54" s="182"/>
      <c r="BNP54" s="182"/>
      <c r="BNQ54" s="184"/>
      <c r="BNR54" s="182"/>
      <c r="BNS54" s="182"/>
      <c r="BNT54" s="182"/>
      <c r="BNU54" s="182"/>
      <c r="BNV54" s="182"/>
      <c r="BNW54" s="185"/>
      <c r="BNX54" s="182"/>
      <c r="BNY54" s="182"/>
      <c r="BNZ54" s="182"/>
      <c r="BOA54" s="182"/>
      <c r="BOB54" s="182"/>
      <c r="BOC54" s="186"/>
      <c r="BOD54" s="181"/>
      <c r="BOE54" s="182"/>
      <c r="BOF54" s="182"/>
      <c r="BOG54" s="182"/>
      <c r="BOH54" s="182"/>
      <c r="BOI54" s="183"/>
      <c r="BOJ54" s="182"/>
      <c r="BOK54" s="182"/>
      <c r="BOL54" s="182"/>
      <c r="BOM54" s="182"/>
      <c r="BON54" s="182"/>
      <c r="BOO54" s="184"/>
      <c r="BOP54" s="182"/>
      <c r="BOQ54" s="182"/>
      <c r="BOR54" s="182"/>
      <c r="BOS54" s="182"/>
      <c r="BOT54" s="182"/>
      <c r="BOU54" s="185"/>
      <c r="BOV54" s="182"/>
      <c r="BOW54" s="182"/>
      <c r="BOX54" s="182"/>
      <c r="BOY54" s="182"/>
      <c r="BOZ54" s="182"/>
      <c r="BPA54" s="184"/>
      <c r="BPB54" s="182"/>
      <c r="BPC54" s="182"/>
      <c r="BPD54" s="182"/>
      <c r="BPE54" s="182"/>
      <c r="BPF54" s="182"/>
      <c r="BPG54" s="185"/>
      <c r="BPH54" s="182"/>
      <c r="BPI54" s="182"/>
      <c r="BPJ54" s="182"/>
      <c r="BPK54" s="182"/>
      <c r="BPL54" s="182"/>
      <c r="BPM54" s="184"/>
      <c r="BPN54" s="182"/>
      <c r="BPO54" s="182"/>
      <c r="BPP54" s="182"/>
      <c r="BPQ54" s="182"/>
      <c r="BPR54" s="182"/>
      <c r="BPS54" s="185"/>
      <c r="BPT54" s="182"/>
      <c r="BPU54" s="182"/>
      <c r="BPV54" s="182"/>
      <c r="BPW54" s="182"/>
      <c r="BPX54" s="182"/>
      <c r="BPY54" s="184"/>
      <c r="BPZ54" s="182"/>
      <c r="BQA54" s="182"/>
      <c r="BQB54" s="182"/>
      <c r="BQC54" s="182"/>
      <c r="BQD54" s="182"/>
      <c r="BQE54" s="185"/>
      <c r="BQF54" s="182"/>
      <c r="BQG54" s="182"/>
      <c r="BQH54" s="182"/>
      <c r="BQI54" s="182"/>
      <c r="BQJ54" s="182"/>
      <c r="BQK54" s="186"/>
    </row>
    <row r="55" spans="1:1805" ht="20.100000000000001" customHeight="1" x14ac:dyDescent="0.25">
      <c r="A55" s="84" t="s">
        <v>19</v>
      </c>
      <c r="B55" s="53"/>
      <c r="C55" s="228" t="s">
        <v>89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  <c r="BLV55" s="161"/>
      <c r="BLW55" s="162"/>
      <c r="BLX55" s="162"/>
      <c r="BLY55" s="162"/>
      <c r="BLZ55" s="162"/>
      <c r="BMA55" s="163"/>
      <c r="BMB55" s="162"/>
      <c r="BMC55" s="162"/>
      <c r="BMD55" s="162"/>
      <c r="BME55" s="162"/>
      <c r="BMF55" s="162"/>
      <c r="BMG55" s="164"/>
      <c r="BMH55" s="162"/>
      <c r="BMI55" s="162"/>
      <c r="BMJ55" s="162"/>
      <c r="BMK55" s="162"/>
      <c r="BML55" s="162"/>
      <c r="BMM55" s="165"/>
      <c r="BMN55" s="162"/>
      <c r="BMO55" s="162"/>
      <c r="BMP55" s="162"/>
      <c r="BMQ55" s="162"/>
      <c r="BMR55" s="162"/>
      <c r="BMS55" s="164"/>
      <c r="BMT55" s="162"/>
      <c r="BMU55" s="162"/>
      <c r="BMV55" s="162"/>
      <c r="BMW55" s="162"/>
      <c r="BMX55" s="162"/>
      <c r="BMY55" s="165"/>
      <c r="BMZ55" s="162"/>
      <c r="BNA55" s="162"/>
      <c r="BNB55" s="162"/>
      <c r="BNC55" s="162"/>
      <c r="BND55" s="162"/>
      <c r="BNE55" s="164"/>
      <c r="BNF55" s="162"/>
      <c r="BNG55" s="162"/>
      <c r="BNH55" s="162"/>
      <c r="BNI55" s="162"/>
      <c r="BNJ55" s="162"/>
      <c r="BNK55" s="165"/>
      <c r="BNL55" s="162"/>
      <c r="BNM55" s="162"/>
      <c r="BNN55" s="162"/>
      <c r="BNO55" s="162"/>
      <c r="BNP55" s="162"/>
      <c r="BNQ55" s="164"/>
      <c r="BNR55" s="162"/>
      <c r="BNS55" s="162"/>
      <c r="BNT55" s="162"/>
      <c r="BNU55" s="162"/>
      <c r="BNV55" s="162"/>
      <c r="BNW55" s="165"/>
      <c r="BNX55" s="162"/>
      <c r="BNY55" s="162"/>
      <c r="BNZ55" s="162"/>
      <c r="BOA55" s="162"/>
      <c r="BOB55" s="162"/>
      <c r="BOC55" s="166"/>
      <c r="BOD55" s="161"/>
      <c r="BOE55" s="162"/>
      <c r="BOF55" s="162"/>
      <c r="BOG55" s="162"/>
      <c r="BOH55" s="162"/>
      <c r="BOI55" s="163"/>
      <c r="BOJ55" s="162"/>
      <c r="BOK55" s="162"/>
      <c r="BOL55" s="162"/>
      <c r="BOM55" s="162"/>
      <c r="BON55" s="162"/>
      <c r="BOO55" s="164"/>
      <c r="BOP55" s="162"/>
      <c r="BOQ55" s="162"/>
      <c r="BOR55" s="162"/>
      <c r="BOS55" s="162"/>
      <c r="BOT55" s="162"/>
      <c r="BOU55" s="165"/>
      <c r="BOV55" s="162"/>
      <c r="BOW55" s="162"/>
      <c r="BOX55" s="162"/>
      <c r="BOY55" s="162"/>
      <c r="BOZ55" s="162"/>
      <c r="BPA55" s="164"/>
      <c r="BPB55" s="162"/>
      <c r="BPC55" s="162"/>
      <c r="BPD55" s="162"/>
      <c r="BPE55" s="162"/>
      <c r="BPF55" s="162"/>
      <c r="BPG55" s="165"/>
      <c r="BPH55" s="162"/>
      <c r="BPI55" s="162"/>
      <c r="BPJ55" s="162"/>
      <c r="BPK55" s="162"/>
      <c r="BPL55" s="162"/>
      <c r="BPM55" s="164"/>
      <c r="BPN55" s="162"/>
      <c r="BPO55" s="162"/>
      <c r="BPP55" s="162"/>
      <c r="BPQ55" s="162"/>
      <c r="BPR55" s="162"/>
      <c r="BPS55" s="165"/>
      <c r="BPT55" s="162"/>
      <c r="BPU55" s="162"/>
      <c r="BPV55" s="162"/>
      <c r="BPW55" s="162"/>
      <c r="BPX55" s="162"/>
      <c r="BPY55" s="164"/>
      <c r="BPZ55" s="162"/>
      <c r="BQA55" s="162"/>
      <c r="BQB55" s="162"/>
      <c r="BQC55" s="162"/>
      <c r="BQD55" s="162"/>
      <c r="BQE55" s="165"/>
      <c r="BQF55" s="162"/>
      <c r="BQG55" s="162"/>
      <c r="BQH55" s="162"/>
      <c r="BQI55" s="162"/>
      <c r="BQJ55" s="162"/>
      <c r="BQK55" s="166"/>
    </row>
    <row r="56" spans="1:1805" ht="20.100000000000001" customHeight="1" x14ac:dyDescent="0.25">
      <c r="A56" s="84" t="s">
        <v>20</v>
      </c>
      <c r="B56" s="53"/>
      <c r="C56" s="229"/>
      <c r="D56" s="130" t="str">
        <f t="shared" si="0"/>
        <v>2h15min</v>
      </c>
      <c r="E56" s="22">
        <v>27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205"/>
      <c r="HA56" s="210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205"/>
      <c r="JF56" s="205"/>
      <c r="JG56" s="205"/>
      <c r="JH56" s="205"/>
      <c r="JI56" s="210"/>
      <c r="JJ56" s="205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205"/>
      <c r="OK56" s="210"/>
      <c r="OL56" s="205"/>
      <c r="OM56" s="176"/>
      <c r="ON56" s="176"/>
      <c r="OO56" s="205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205"/>
      <c r="RU56" s="205"/>
      <c r="RV56" s="205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176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176"/>
      <c r="YS56" s="176"/>
      <c r="YT56" s="176"/>
      <c r="YU56" s="177"/>
      <c r="YV56" s="176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176"/>
      <c r="AGU56" s="176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176"/>
      <c r="ALU56" s="176"/>
      <c r="ALV56" s="176"/>
      <c r="ALW56" s="176"/>
      <c r="ALX56" s="176"/>
      <c r="ALY56" s="178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175"/>
      <c r="AMM56" s="176"/>
      <c r="AMN56" s="176"/>
      <c r="AMO56" s="176"/>
      <c r="AMP56" s="176"/>
      <c r="AMQ56" s="177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176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  <c r="BLV56" s="175"/>
      <c r="BLW56" s="176"/>
      <c r="BLX56" s="176"/>
      <c r="BLY56" s="176"/>
      <c r="BLZ56" s="176"/>
      <c r="BMA56" s="177"/>
      <c r="BMB56" s="176"/>
      <c r="BMC56" s="176"/>
      <c r="BMD56" s="176"/>
      <c r="BME56" s="176"/>
      <c r="BMF56" s="176"/>
      <c r="BMG56" s="178"/>
      <c r="BMH56" s="176"/>
      <c r="BMI56" s="176"/>
      <c r="BMJ56" s="176"/>
      <c r="BMK56" s="176"/>
      <c r="BML56" s="176"/>
      <c r="BMM56" s="179"/>
      <c r="BMN56" s="176"/>
      <c r="BMO56" s="176"/>
      <c r="BMP56" s="176"/>
      <c r="BMQ56" s="176"/>
      <c r="BMR56" s="176"/>
      <c r="BMS56" s="178"/>
      <c r="BMT56" s="176"/>
      <c r="BMU56" s="176"/>
      <c r="BMV56" s="176"/>
      <c r="BMW56" s="176"/>
      <c r="BMX56" s="176"/>
      <c r="BMY56" s="179"/>
      <c r="BMZ56" s="176"/>
      <c r="BNA56" s="176"/>
      <c r="BNB56" s="176"/>
      <c r="BNC56" s="176"/>
      <c r="BND56" s="176"/>
      <c r="BNE56" s="178"/>
      <c r="BNF56" s="176"/>
      <c r="BNG56" s="176"/>
      <c r="BNH56" s="176"/>
      <c r="BNI56" s="176"/>
      <c r="BNJ56" s="176"/>
      <c r="BNK56" s="179"/>
      <c r="BNL56" s="176"/>
      <c r="BNM56" s="176"/>
      <c r="BNN56" s="176"/>
      <c r="BNO56" s="176"/>
      <c r="BNP56" s="176"/>
      <c r="BNQ56" s="178"/>
      <c r="BNR56" s="176"/>
      <c r="BNS56" s="176"/>
      <c r="BNT56" s="176"/>
      <c r="BNU56" s="176"/>
      <c r="BNV56" s="176"/>
      <c r="BNW56" s="179"/>
      <c r="BNX56" s="176"/>
      <c r="BNY56" s="176"/>
      <c r="BNZ56" s="176"/>
      <c r="BOA56" s="176"/>
      <c r="BOB56" s="176"/>
      <c r="BOC56" s="180"/>
      <c r="BOD56" s="175"/>
      <c r="BOE56" s="176"/>
      <c r="BOF56" s="176"/>
      <c r="BOG56" s="176"/>
      <c r="BOH56" s="176"/>
      <c r="BOI56" s="177"/>
      <c r="BOJ56" s="176"/>
      <c r="BOK56" s="176"/>
      <c r="BOL56" s="176"/>
      <c r="BOM56" s="176"/>
      <c r="BON56" s="176"/>
      <c r="BOO56" s="178"/>
      <c r="BOP56" s="176"/>
      <c r="BOQ56" s="176"/>
      <c r="BOR56" s="176"/>
      <c r="BOS56" s="176"/>
      <c r="BOT56" s="176"/>
      <c r="BOU56" s="179"/>
      <c r="BOV56" s="176"/>
      <c r="BOW56" s="176"/>
      <c r="BOX56" s="176"/>
      <c r="BOY56" s="176"/>
      <c r="BOZ56" s="176"/>
      <c r="BPA56" s="178"/>
      <c r="BPB56" s="176"/>
      <c r="BPC56" s="176"/>
      <c r="BPD56" s="176"/>
      <c r="BPE56" s="176"/>
      <c r="BPF56" s="176"/>
      <c r="BPG56" s="179"/>
      <c r="BPH56" s="176"/>
      <c r="BPI56" s="176"/>
      <c r="BPJ56" s="176"/>
      <c r="BPK56" s="176"/>
      <c r="BPL56" s="176"/>
      <c r="BPM56" s="178"/>
      <c r="BPN56" s="176"/>
      <c r="BPO56" s="176"/>
      <c r="BPP56" s="176"/>
      <c r="BPQ56" s="176"/>
      <c r="BPR56" s="176"/>
      <c r="BPS56" s="179"/>
      <c r="BPT56" s="176"/>
      <c r="BPU56" s="176"/>
      <c r="BPV56" s="176"/>
      <c r="BPW56" s="176"/>
      <c r="BPX56" s="176"/>
      <c r="BPY56" s="178"/>
      <c r="BPZ56" s="176"/>
      <c r="BQA56" s="176"/>
      <c r="BQB56" s="176"/>
      <c r="BQC56" s="176"/>
      <c r="BQD56" s="176"/>
      <c r="BQE56" s="179"/>
      <c r="BQF56" s="176"/>
      <c r="BQG56" s="176"/>
      <c r="BQH56" s="176"/>
      <c r="BQI56" s="176"/>
      <c r="BQJ56" s="176"/>
      <c r="BQK56" s="180"/>
    </row>
    <row r="57" spans="1:1805" ht="20.100000000000001" customHeight="1" x14ac:dyDescent="0.25">
      <c r="A57" s="84" t="s">
        <v>19</v>
      </c>
      <c r="B57" s="53"/>
      <c r="C57" s="228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  <c r="BLV57" s="155"/>
      <c r="BLW57" s="156"/>
      <c r="BLX57" s="156"/>
      <c r="BLY57" s="156"/>
      <c r="BLZ57" s="156"/>
      <c r="BMA57" s="157"/>
      <c r="BMB57" s="156"/>
      <c r="BMC57" s="156"/>
      <c r="BMD57" s="156"/>
      <c r="BME57" s="156"/>
      <c r="BMF57" s="156"/>
      <c r="BMG57" s="158"/>
      <c r="BMH57" s="156"/>
      <c r="BMI57" s="156"/>
      <c r="BMJ57" s="156"/>
      <c r="BMK57" s="156"/>
      <c r="BML57" s="156"/>
      <c r="BMM57" s="159"/>
      <c r="BMN57" s="156"/>
      <c r="BMO57" s="156"/>
      <c r="BMP57" s="156"/>
      <c r="BMQ57" s="156"/>
      <c r="BMR57" s="156"/>
      <c r="BMS57" s="158"/>
      <c r="BMT57" s="156"/>
      <c r="BMU57" s="156"/>
      <c r="BMV57" s="156"/>
      <c r="BMW57" s="156"/>
      <c r="BMX57" s="156"/>
      <c r="BMY57" s="159"/>
      <c r="BMZ57" s="156"/>
      <c r="BNA57" s="156"/>
      <c r="BNB57" s="156"/>
      <c r="BNC57" s="156"/>
      <c r="BND57" s="156"/>
      <c r="BNE57" s="158"/>
      <c r="BNF57" s="156"/>
      <c r="BNG57" s="156"/>
      <c r="BNH57" s="156"/>
      <c r="BNI57" s="156"/>
      <c r="BNJ57" s="156"/>
      <c r="BNK57" s="159"/>
      <c r="BNL57" s="156"/>
      <c r="BNM57" s="156"/>
      <c r="BNN57" s="156"/>
      <c r="BNO57" s="156"/>
      <c r="BNP57" s="156"/>
      <c r="BNQ57" s="158"/>
      <c r="BNR57" s="156"/>
      <c r="BNS57" s="156"/>
      <c r="BNT57" s="156"/>
      <c r="BNU57" s="156"/>
      <c r="BNV57" s="156"/>
      <c r="BNW57" s="159"/>
      <c r="BNX57" s="156"/>
      <c r="BNY57" s="156"/>
      <c r="BNZ57" s="156"/>
      <c r="BOA57" s="156"/>
      <c r="BOB57" s="156"/>
      <c r="BOC57" s="160"/>
      <c r="BOD57" s="155"/>
      <c r="BOE57" s="156"/>
      <c r="BOF57" s="156"/>
      <c r="BOG57" s="156"/>
      <c r="BOH57" s="156"/>
      <c r="BOI57" s="157"/>
      <c r="BOJ57" s="156"/>
      <c r="BOK57" s="156"/>
      <c r="BOL57" s="156"/>
      <c r="BOM57" s="156"/>
      <c r="BON57" s="156"/>
      <c r="BOO57" s="158"/>
      <c r="BOP57" s="156"/>
      <c r="BOQ57" s="156"/>
      <c r="BOR57" s="156"/>
      <c r="BOS57" s="156"/>
      <c r="BOT57" s="156"/>
      <c r="BOU57" s="159"/>
      <c r="BOV57" s="156"/>
      <c r="BOW57" s="156"/>
      <c r="BOX57" s="156"/>
      <c r="BOY57" s="156"/>
      <c r="BOZ57" s="156"/>
      <c r="BPA57" s="158"/>
      <c r="BPB57" s="156"/>
      <c r="BPC57" s="156"/>
      <c r="BPD57" s="156"/>
      <c r="BPE57" s="156"/>
      <c r="BPF57" s="156"/>
      <c r="BPG57" s="159"/>
      <c r="BPH57" s="156"/>
      <c r="BPI57" s="156"/>
      <c r="BPJ57" s="156"/>
      <c r="BPK57" s="156"/>
      <c r="BPL57" s="156"/>
      <c r="BPM57" s="158"/>
      <c r="BPN57" s="156"/>
      <c r="BPO57" s="156"/>
      <c r="BPP57" s="156"/>
      <c r="BPQ57" s="156"/>
      <c r="BPR57" s="156"/>
      <c r="BPS57" s="159"/>
      <c r="BPT57" s="156"/>
      <c r="BPU57" s="156"/>
      <c r="BPV57" s="156"/>
      <c r="BPW57" s="156"/>
      <c r="BPX57" s="156"/>
      <c r="BPY57" s="158"/>
      <c r="BPZ57" s="156"/>
      <c r="BQA57" s="156"/>
      <c r="BQB57" s="156"/>
      <c r="BQC57" s="156"/>
      <c r="BQD57" s="156"/>
      <c r="BQE57" s="159"/>
      <c r="BQF57" s="156"/>
      <c r="BQG57" s="156"/>
      <c r="BQH57" s="156"/>
      <c r="BQI57" s="156"/>
      <c r="BQJ57" s="156"/>
      <c r="BQK57" s="160"/>
    </row>
    <row r="58" spans="1:1805" ht="20.100000000000001" customHeight="1" x14ac:dyDescent="0.3">
      <c r="A58" s="84" t="s">
        <v>20</v>
      </c>
      <c r="B58" s="53"/>
      <c r="C58" s="229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  <c r="BLV58" s="181"/>
      <c r="BLW58" s="182"/>
      <c r="BLX58" s="182"/>
      <c r="BLY58" s="182"/>
      <c r="BLZ58" s="182"/>
      <c r="BMA58" s="183"/>
      <c r="BMB58" s="182"/>
      <c r="BMC58" s="182"/>
      <c r="BMD58" s="182"/>
      <c r="BME58" s="182"/>
      <c r="BMF58" s="182"/>
      <c r="BMG58" s="184"/>
      <c r="BMH58" s="182"/>
      <c r="BMI58" s="182"/>
      <c r="BMJ58" s="182"/>
      <c r="BMK58" s="182"/>
      <c r="BML58" s="182"/>
      <c r="BMM58" s="185"/>
      <c r="BMN58" s="182"/>
      <c r="BMO58" s="182"/>
      <c r="BMP58" s="182"/>
      <c r="BMQ58" s="182"/>
      <c r="BMR58" s="182"/>
      <c r="BMS58" s="184"/>
      <c r="BMT58" s="182"/>
      <c r="BMU58" s="182"/>
      <c r="BMV58" s="182"/>
      <c r="BMW58" s="182"/>
      <c r="BMX58" s="182"/>
      <c r="BMY58" s="185"/>
      <c r="BMZ58" s="182"/>
      <c r="BNA58" s="182"/>
      <c r="BNB58" s="182"/>
      <c r="BNC58" s="182"/>
      <c r="BND58" s="182"/>
      <c r="BNE58" s="184"/>
      <c r="BNF58" s="182"/>
      <c r="BNG58" s="182"/>
      <c r="BNH58" s="182"/>
      <c r="BNI58" s="182"/>
      <c r="BNJ58" s="182"/>
      <c r="BNK58" s="185"/>
      <c r="BNL58" s="182"/>
      <c r="BNM58" s="182"/>
      <c r="BNN58" s="182"/>
      <c r="BNO58" s="182"/>
      <c r="BNP58" s="182"/>
      <c r="BNQ58" s="184"/>
      <c r="BNR58" s="182"/>
      <c r="BNS58" s="182"/>
      <c r="BNT58" s="182"/>
      <c r="BNU58" s="182"/>
      <c r="BNV58" s="182"/>
      <c r="BNW58" s="185"/>
      <c r="BNX58" s="182"/>
      <c r="BNY58" s="182"/>
      <c r="BNZ58" s="182"/>
      <c r="BOA58" s="182"/>
      <c r="BOB58" s="182"/>
      <c r="BOC58" s="186"/>
      <c r="BOD58" s="181"/>
      <c r="BOE58" s="182"/>
      <c r="BOF58" s="182"/>
      <c r="BOG58" s="182"/>
      <c r="BOH58" s="182"/>
      <c r="BOI58" s="183"/>
      <c r="BOJ58" s="182"/>
      <c r="BOK58" s="182"/>
      <c r="BOL58" s="182"/>
      <c r="BOM58" s="182"/>
      <c r="BON58" s="182"/>
      <c r="BOO58" s="184"/>
      <c r="BOP58" s="182"/>
      <c r="BOQ58" s="182"/>
      <c r="BOR58" s="182"/>
      <c r="BOS58" s="182"/>
      <c r="BOT58" s="182"/>
      <c r="BOU58" s="185"/>
      <c r="BOV58" s="182"/>
      <c r="BOW58" s="182"/>
      <c r="BOX58" s="182"/>
      <c r="BOY58" s="182"/>
      <c r="BOZ58" s="182"/>
      <c r="BPA58" s="184"/>
      <c r="BPB58" s="182"/>
      <c r="BPC58" s="182"/>
      <c r="BPD58" s="182"/>
      <c r="BPE58" s="182"/>
      <c r="BPF58" s="182"/>
      <c r="BPG58" s="185"/>
      <c r="BPH58" s="182"/>
      <c r="BPI58" s="182"/>
      <c r="BPJ58" s="182"/>
      <c r="BPK58" s="182"/>
      <c r="BPL58" s="182"/>
      <c r="BPM58" s="184"/>
      <c r="BPN58" s="182"/>
      <c r="BPO58" s="182"/>
      <c r="BPP58" s="182"/>
      <c r="BPQ58" s="182"/>
      <c r="BPR58" s="182"/>
      <c r="BPS58" s="185"/>
      <c r="BPT58" s="182"/>
      <c r="BPU58" s="182"/>
      <c r="BPV58" s="182"/>
      <c r="BPW58" s="182"/>
      <c r="BPX58" s="182"/>
      <c r="BPY58" s="184"/>
      <c r="BPZ58" s="182"/>
      <c r="BQA58" s="182"/>
      <c r="BQB58" s="182"/>
      <c r="BQC58" s="182"/>
      <c r="BQD58" s="182"/>
      <c r="BQE58" s="185"/>
      <c r="BQF58" s="182"/>
      <c r="BQG58" s="182"/>
      <c r="BQH58" s="182"/>
      <c r="BQI58" s="182"/>
      <c r="BQJ58" s="182"/>
      <c r="BQK58" s="186"/>
    </row>
    <row r="59" spans="1:1805" ht="20.100000000000001" customHeight="1" x14ac:dyDescent="0.25">
      <c r="A59" s="84" t="s">
        <v>19</v>
      </c>
      <c r="B59" s="53"/>
      <c r="C59" s="228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  <c r="BLV59" s="161"/>
      <c r="BLW59" s="162"/>
      <c r="BLX59" s="162"/>
      <c r="BLY59" s="162"/>
      <c r="BLZ59" s="162"/>
      <c r="BMA59" s="163"/>
      <c r="BMB59" s="162"/>
      <c r="BMC59" s="162"/>
      <c r="BMD59" s="162"/>
      <c r="BME59" s="162"/>
      <c r="BMF59" s="162"/>
      <c r="BMG59" s="164"/>
      <c r="BMH59" s="162"/>
      <c r="BMI59" s="162"/>
      <c r="BMJ59" s="162"/>
      <c r="BMK59" s="162"/>
      <c r="BML59" s="162"/>
      <c r="BMM59" s="165"/>
      <c r="BMN59" s="162"/>
      <c r="BMO59" s="162"/>
      <c r="BMP59" s="162"/>
      <c r="BMQ59" s="162"/>
      <c r="BMR59" s="162"/>
      <c r="BMS59" s="164"/>
      <c r="BMT59" s="162"/>
      <c r="BMU59" s="162"/>
      <c r="BMV59" s="162"/>
      <c r="BMW59" s="162"/>
      <c r="BMX59" s="162"/>
      <c r="BMY59" s="165"/>
      <c r="BMZ59" s="162"/>
      <c r="BNA59" s="162"/>
      <c r="BNB59" s="162"/>
      <c r="BNC59" s="162"/>
      <c r="BND59" s="162"/>
      <c r="BNE59" s="164"/>
      <c r="BNF59" s="162"/>
      <c r="BNG59" s="162"/>
      <c r="BNH59" s="162"/>
      <c r="BNI59" s="162"/>
      <c r="BNJ59" s="162"/>
      <c r="BNK59" s="165"/>
      <c r="BNL59" s="162"/>
      <c r="BNM59" s="162"/>
      <c r="BNN59" s="162"/>
      <c r="BNO59" s="162"/>
      <c r="BNP59" s="162"/>
      <c r="BNQ59" s="164"/>
      <c r="BNR59" s="162"/>
      <c r="BNS59" s="162"/>
      <c r="BNT59" s="162"/>
      <c r="BNU59" s="162"/>
      <c r="BNV59" s="162"/>
      <c r="BNW59" s="165"/>
      <c r="BNX59" s="162"/>
      <c r="BNY59" s="162"/>
      <c r="BNZ59" s="162"/>
      <c r="BOA59" s="162"/>
      <c r="BOB59" s="162"/>
      <c r="BOC59" s="166"/>
      <c r="BOD59" s="161"/>
      <c r="BOE59" s="162"/>
      <c r="BOF59" s="162"/>
      <c r="BOG59" s="162"/>
      <c r="BOH59" s="162"/>
      <c r="BOI59" s="163"/>
      <c r="BOJ59" s="162"/>
      <c r="BOK59" s="162"/>
      <c r="BOL59" s="162"/>
      <c r="BOM59" s="162"/>
      <c r="BON59" s="162"/>
      <c r="BOO59" s="164"/>
      <c r="BOP59" s="162"/>
      <c r="BOQ59" s="162"/>
      <c r="BOR59" s="162"/>
      <c r="BOS59" s="162"/>
      <c r="BOT59" s="162"/>
      <c r="BOU59" s="165"/>
      <c r="BOV59" s="162"/>
      <c r="BOW59" s="162"/>
      <c r="BOX59" s="162"/>
      <c r="BOY59" s="162"/>
      <c r="BOZ59" s="162"/>
      <c r="BPA59" s="164"/>
      <c r="BPB59" s="162"/>
      <c r="BPC59" s="162"/>
      <c r="BPD59" s="162"/>
      <c r="BPE59" s="162"/>
      <c r="BPF59" s="162"/>
      <c r="BPG59" s="165"/>
      <c r="BPH59" s="162"/>
      <c r="BPI59" s="162"/>
      <c r="BPJ59" s="162"/>
      <c r="BPK59" s="162"/>
      <c r="BPL59" s="162"/>
      <c r="BPM59" s="164"/>
      <c r="BPN59" s="162"/>
      <c r="BPO59" s="162"/>
      <c r="BPP59" s="162"/>
      <c r="BPQ59" s="162"/>
      <c r="BPR59" s="162"/>
      <c r="BPS59" s="165"/>
      <c r="BPT59" s="162"/>
      <c r="BPU59" s="162"/>
      <c r="BPV59" s="162"/>
      <c r="BPW59" s="162"/>
      <c r="BPX59" s="162"/>
      <c r="BPY59" s="164"/>
      <c r="BPZ59" s="162"/>
      <c r="BQA59" s="162"/>
      <c r="BQB59" s="162"/>
      <c r="BQC59" s="162"/>
      <c r="BQD59" s="162"/>
      <c r="BQE59" s="165"/>
      <c r="BQF59" s="162"/>
      <c r="BQG59" s="162"/>
      <c r="BQH59" s="162"/>
      <c r="BQI59" s="162"/>
      <c r="BQJ59" s="162"/>
      <c r="BQK59" s="166"/>
    </row>
    <row r="60" spans="1:1805" ht="20.100000000000001" customHeight="1" x14ac:dyDescent="0.3">
      <c r="A60" s="84" t="s">
        <v>20</v>
      </c>
      <c r="B60" s="53"/>
      <c r="C60" s="229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  <c r="BLV60" s="175"/>
      <c r="BLW60" s="176"/>
      <c r="BLX60" s="176"/>
      <c r="BLY60" s="176"/>
      <c r="BLZ60" s="176"/>
      <c r="BMA60" s="177"/>
      <c r="BMB60" s="176"/>
      <c r="BMC60" s="176"/>
      <c r="BMD60" s="176"/>
      <c r="BME60" s="176"/>
      <c r="BMF60" s="176"/>
      <c r="BMG60" s="178"/>
      <c r="BMH60" s="176"/>
      <c r="BMI60" s="176"/>
      <c r="BMJ60" s="176"/>
      <c r="BMK60" s="176"/>
      <c r="BML60" s="176"/>
      <c r="BMM60" s="179"/>
      <c r="BMN60" s="176"/>
      <c r="BMO60" s="176"/>
      <c r="BMP60" s="176"/>
      <c r="BMQ60" s="176"/>
      <c r="BMR60" s="176"/>
      <c r="BMS60" s="178"/>
      <c r="BMT60" s="176"/>
      <c r="BMU60" s="176"/>
      <c r="BMV60" s="176"/>
      <c r="BMW60" s="176"/>
      <c r="BMX60" s="176"/>
      <c r="BMY60" s="179"/>
      <c r="BMZ60" s="176"/>
      <c r="BNA60" s="176"/>
      <c r="BNB60" s="176"/>
      <c r="BNC60" s="176"/>
      <c r="BND60" s="176"/>
      <c r="BNE60" s="178"/>
      <c r="BNF60" s="176"/>
      <c r="BNG60" s="176"/>
      <c r="BNH60" s="176"/>
      <c r="BNI60" s="176"/>
      <c r="BNJ60" s="176"/>
      <c r="BNK60" s="179"/>
      <c r="BNL60" s="176"/>
      <c r="BNM60" s="176"/>
      <c r="BNN60" s="176"/>
      <c r="BNO60" s="176"/>
      <c r="BNP60" s="176"/>
      <c r="BNQ60" s="178"/>
      <c r="BNR60" s="176"/>
      <c r="BNS60" s="176"/>
      <c r="BNT60" s="176"/>
      <c r="BNU60" s="176"/>
      <c r="BNV60" s="176"/>
      <c r="BNW60" s="179"/>
      <c r="BNX60" s="176"/>
      <c r="BNY60" s="176"/>
      <c r="BNZ60" s="176"/>
      <c r="BOA60" s="176"/>
      <c r="BOB60" s="176"/>
      <c r="BOC60" s="180"/>
      <c r="BOD60" s="175"/>
      <c r="BOE60" s="176"/>
      <c r="BOF60" s="176"/>
      <c r="BOG60" s="176"/>
      <c r="BOH60" s="176"/>
      <c r="BOI60" s="177"/>
      <c r="BOJ60" s="176"/>
      <c r="BOK60" s="176"/>
      <c r="BOL60" s="176"/>
      <c r="BOM60" s="176"/>
      <c r="BON60" s="176"/>
      <c r="BOO60" s="178"/>
      <c r="BOP60" s="176"/>
      <c r="BOQ60" s="176"/>
      <c r="BOR60" s="176"/>
      <c r="BOS60" s="176"/>
      <c r="BOT60" s="176"/>
      <c r="BOU60" s="179"/>
      <c r="BOV60" s="176"/>
      <c r="BOW60" s="176"/>
      <c r="BOX60" s="176"/>
      <c r="BOY60" s="176"/>
      <c r="BOZ60" s="176"/>
      <c r="BPA60" s="178"/>
      <c r="BPB60" s="176"/>
      <c r="BPC60" s="176"/>
      <c r="BPD60" s="176"/>
      <c r="BPE60" s="176"/>
      <c r="BPF60" s="176"/>
      <c r="BPG60" s="179"/>
      <c r="BPH60" s="176"/>
      <c r="BPI60" s="176"/>
      <c r="BPJ60" s="176"/>
      <c r="BPK60" s="176"/>
      <c r="BPL60" s="176"/>
      <c r="BPM60" s="178"/>
      <c r="BPN60" s="176"/>
      <c r="BPO60" s="176"/>
      <c r="BPP60" s="176"/>
      <c r="BPQ60" s="176"/>
      <c r="BPR60" s="176"/>
      <c r="BPS60" s="179"/>
      <c r="BPT60" s="176"/>
      <c r="BPU60" s="176"/>
      <c r="BPV60" s="176"/>
      <c r="BPW60" s="176"/>
      <c r="BPX60" s="176"/>
      <c r="BPY60" s="178"/>
      <c r="BPZ60" s="176"/>
      <c r="BQA60" s="176"/>
      <c r="BQB60" s="176"/>
      <c r="BQC60" s="176"/>
      <c r="BQD60" s="176"/>
      <c r="BQE60" s="179"/>
      <c r="BQF60" s="176"/>
      <c r="BQG60" s="176"/>
      <c r="BQH60" s="176"/>
      <c r="BQI60" s="176"/>
      <c r="BQJ60" s="176"/>
      <c r="BQK60" s="180"/>
    </row>
    <row r="61" spans="1:1805" ht="20.100000000000001" customHeight="1" x14ac:dyDescent="0.25">
      <c r="A61" s="84" t="s">
        <v>19</v>
      </c>
      <c r="B61" s="53"/>
      <c r="C61" s="228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  <c r="BLV61" s="155"/>
      <c r="BLW61" s="156"/>
      <c r="BLX61" s="156"/>
      <c r="BLY61" s="156"/>
      <c r="BLZ61" s="156"/>
      <c r="BMA61" s="157"/>
      <c r="BMB61" s="156"/>
      <c r="BMC61" s="156"/>
      <c r="BMD61" s="156"/>
      <c r="BME61" s="156"/>
      <c r="BMF61" s="156"/>
      <c r="BMG61" s="158"/>
      <c r="BMH61" s="156"/>
      <c r="BMI61" s="156"/>
      <c r="BMJ61" s="156"/>
      <c r="BMK61" s="156"/>
      <c r="BML61" s="156"/>
      <c r="BMM61" s="159"/>
      <c r="BMN61" s="156"/>
      <c r="BMO61" s="156"/>
      <c r="BMP61" s="156"/>
      <c r="BMQ61" s="156"/>
      <c r="BMR61" s="156"/>
      <c r="BMS61" s="158"/>
      <c r="BMT61" s="156"/>
      <c r="BMU61" s="156"/>
      <c r="BMV61" s="156"/>
      <c r="BMW61" s="156"/>
      <c r="BMX61" s="156"/>
      <c r="BMY61" s="159"/>
      <c r="BMZ61" s="156"/>
      <c r="BNA61" s="156"/>
      <c r="BNB61" s="156"/>
      <c r="BNC61" s="156"/>
      <c r="BND61" s="156"/>
      <c r="BNE61" s="158"/>
      <c r="BNF61" s="156"/>
      <c r="BNG61" s="156"/>
      <c r="BNH61" s="156"/>
      <c r="BNI61" s="156"/>
      <c r="BNJ61" s="156"/>
      <c r="BNK61" s="159"/>
      <c r="BNL61" s="156"/>
      <c r="BNM61" s="156"/>
      <c r="BNN61" s="156"/>
      <c r="BNO61" s="156"/>
      <c r="BNP61" s="156"/>
      <c r="BNQ61" s="158"/>
      <c r="BNR61" s="156"/>
      <c r="BNS61" s="156"/>
      <c r="BNT61" s="156"/>
      <c r="BNU61" s="156"/>
      <c r="BNV61" s="156"/>
      <c r="BNW61" s="159"/>
      <c r="BNX61" s="156"/>
      <c r="BNY61" s="156"/>
      <c r="BNZ61" s="156"/>
      <c r="BOA61" s="156"/>
      <c r="BOB61" s="156"/>
      <c r="BOC61" s="160"/>
      <c r="BOD61" s="155"/>
      <c r="BOE61" s="156"/>
      <c r="BOF61" s="156"/>
      <c r="BOG61" s="156"/>
      <c r="BOH61" s="156"/>
      <c r="BOI61" s="157"/>
      <c r="BOJ61" s="156"/>
      <c r="BOK61" s="156"/>
      <c r="BOL61" s="156"/>
      <c r="BOM61" s="156"/>
      <c r="BON61" s="156"/>
      <c r="BOO61" s="158"/>
      <c r="BOP61" s="156"/>
      <c r="BOQ61" s="156"/>
      <c r="BOR61" s="156"/>
      <c r="BOS61" s="156"/>
      <c r="BOT61" s="156"/>
      <c r="BOU61" s="159"/>
      <c r="BOV61" s="156"/>
      <c r="BOW61" s="156"/>
      <c r="BOX61" s="156"/>
      <c r="BOY61" s="156"/>
      <c r="BOZ61" s="156"/>
      <c r="BPA61" s="158"/>
      <c r="BPB61" s="156"/>
      <c r="BPC61" s="156"/>
      <c r="BPD61" s="156"/>
      <c r="BPE61" s="156"/>
      <c r="BPF61" s="156"/>
      <c r="BPG61" s="159"/>
      <c r="BPH61" s="156"/>
      <c r="BPI61" s="156"/>
      <c r="BPJ61" s="156"/>
      <c r="BPK61" s="156"/>
      <c r="BPL61" s="156"/>
      <c r="BPM61" s="158"/>
      <c r="BPN61" s="156"/>
      <c r="BPO61" s="156"/>
      <c r="BPP61" s="156"/>
      <c r="BPQ61" s="156"/>
      <c r="BPR61" s="156"/>
      <c r="BPS61" s="159"/>
      <c r="BPT61" s="156"/>
      <c r="BPU61" s="156"/>
      <c r="BPV61" s="156"/>
      <c r="BPW61" s="156"/>
      <c r="BPX61" s="156"/>
      <c r="BPY61" s="158"/>
      <c r="BPZ61" s="156"/>
      <c r="BQA61" s="156"/>
      <c r="BQB61" s="156"/>
      <c r="BQC61" s="156"/>
      <c r="BQD61" s="156"/>
      <c r="BQE61" s="159"/>
      <c r="BQF61" s="156"/>
      <c r="BQG61" s="156"/>
      <c r="BQH61" s="156"/>
      <c r="BQI61" s="156"/>
      <c r="BQJ61" s="156"/>
      <c r="BQK61" s="160"/>
    </row>
    <row r="62" spans="1:1805" ht="20.100000000000001" customHeight="1" x14ac:dyDescent="0.25">
      <c r="A62" s="84" t="s">
        <v>20</v>
      </c>
      <c r="B62" s="53"/>
      <c r="C62" s="229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  <c r="BLV62" s="181"/>
      <c r="BLW62" s="182"/>
      <c r="BLX62" s="182"/>
      <c r="BLY62" s="182"/>
      <c r="BLZ62" s="182"/>
      <c r="BMA62" s="183"/>
      <c r="BMB62" s="182"/>
      <c r="BMC62" s="182"/>
      <c r="BMD62" s="182"/>
      <c r="BME62" s="182"/>
      <c r="BMF62" s="182"/>
      <c r="BMG62" s="184"/>
      <c r="BMH62" s="182"/>
      <c r="BMI62" s="182"/>
      <c r="BMJ62" s="182"/>
      <c r="BMK62" s="182"/>
      <c r="BML62" s="182"/>
      <c r="BMM62" s="185"/>
      <c r="BMN62" s="182"/>
      <c r="BMO62" s="182"/>
      <c r="BMP62" s="182"/>
      <c r="BMQ62" s="182"/>
      <c r="BMR62" s="182"/>
      <c r="BMS62" s="184"/>
      <c r="BMT62" s="182"/>
      <c r="BMU62" s="182"/>
      <c r="BMV62" s="182"/>
      <c r="BMW62" s="182"/>
      <c r="BMX62" s="182"/>
      <c r="BMY62" s="185"/>
      <c r="BMZ62" s="182"/>
      <c r="BNA62" s="182"/>
      <c r="BNB62" s="182"/>
      <c r="BNC62" s="182"/>
      <c r="BND62" s="182"/>
      <c r="BNE62" s="184"/>
      <c r="BNF62" s="182"/>
      <c r="BNG62" s="182"/>
      <c r="BNH62" s="182"/>
      <c r="BNI62" s="182"/>
      <c r="BNJ62" s="182"/>
      <c r="BNK62" s="185"/>
      <c r="BNL62" s="182"/>
      <c r="BNM62" s="182"/>
      <c r="BNN62" s="182"/>
      <c r="BNO62" s="182"/>
      <c r="BNP62" s="182"/>
      <c r="BNQ62" s="184"/>
      <c r="BNR62" s="182"/>
      <c r="BNS62" s="182"/>
      <c r="BNT62" s="182"/>
      <c r="BNU62" s="182"/>
      <c r="BNV62" s="182"/>
      <c r="BNW62" s="185"/>
      <c r="BNX62" s="182"/>
      <c r="BNY62" s="182"/>
      <c r="BNZ62" s="182"/>
      <c r="BOA62" s="182"/>
      <c r="BOB62" s="182"/>
      <c r="BOC62" s="186"/>
      <c r="BOD62" s="181"/>
      <c r="BOE62" s="182"/>
      <c r="BOF62" s="182"/>
      <c r="BOG62" s="182"/>
      <c r="BOH62" s="182"/>
      <c r="BOI62" s="183"/>
      <c r="BOJ62" s="182"/>
      <c r="BOK62" s="182"/>
      <c r="BOL62" s="182"/>
      <c r="BOM62" s="182"/>
      <c r="BON62" s="182"/>
      <c r="BOO62" s="184"/>
      <c r="BOP62" s="182"/>
      <c r="BOQ62" s="182"/>
      <c r="BOR62" s="182"/>
      <c r="BOS62" s="182"/>
      <c r="BOT62" s="182"/>
      <c r="BOU62" s="185"/>
      <c r="BOV62" s="182"/>
      <c r="BOW62" s="182"/>
      <c r="BOX62" s="182"/>
      <c r="BOY62" s="182"/>
      <c r="BOZ62" s="182"/>
      <c r="BPA62" s="184"/>
      <c r="BPB62" s="182"/>
      <c r="BPC62" s="182"/>
      <c r="BPD62" s="182"/>
      <c r="BPE62" s="182"/>
      <c r="BPF62" s="182"/>
      <c r="BPG62" s="185"/>
      <c r="BPH62" s="182"/>
      <c r="BPI62" s="182"/>
      <c r="BPJ62" s="182"/>
      <c r="BPK62" s="182"/>
      <c r="BPL62" s="182"/>
      <c r="BPM62" s="184"/>
      <c r="BPN62" s="182"/>
      <c r="BPO62" s="182"/>
      <c r="BPP62" s="182"/>
      <c r="BPQ62" s="182"/>
      <c r="BPR62" s="182"/>
      <c r="BPS62" s="185"/>
      <c r="BPT62" s="182"/>
      <c r="BPU62" s="182"/>
      <c r="BPV62" s="182"/>
      <c r="BPW62" s="182"/>
      <c r="BPX62" s="182"/>
      <c r="BPY62" s="184"/>
      <c r="BPZ62" s="182"/>
      <c r="BQA62" s="182"/>
      <c r="BQB62" s="182"/>
      <c r="BQC62" s="182"/>
      <c r="BQD62" s="182"/>
      <c r="BQE62" s="185"/>
      <c r="BQF62" s="182"/>
      <c r="BQG62" s="182"/>
      <c r="BQH62" s="182"/>
      <c r="BQI62" s="182"/>
      <c r="BQJ62" s="182"/>
      <c r="BQK62" s="186"/>
    </row>
    <row r="63" spans="1:1805" ht="20.100000000000001" customHeight="1" x14ac:dyDescent="0.25">
      <c r="A63" s="84" t="s">
        <v>19</v>
      </c>
      <c r="B63" s="53"/>
      <c r="C63" s="228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  <c r="BLV63" s="161"/>
      <c r="BLW63" s="162"/>
      <c r="BLX63" s="162"/>
      <c r="BLY63" s="162"/>
      <c r="BLZ63" s="162"/>
      <c r="BMA63" s="163"/>
      <c r="BMB63" s="162"/>
      <c r="BMC63" s="162"/>
      <c r="BMD63" s="162"/>
      <c r="BME63" s="162"/>
      <c r="BMF63" s="162"/>
      <c r="BMG63" s="164"/>
      <c r="BMH63" s="162"/>
      <c r="BMI63" s="162"/>
      <c r="BMJ63" s="162"/>
      <c r="BMK63" s="162"/>
      <c r="BML63" s="162"/>
      <c r="BMM63" s="165"/>
      <c r="BMN63" s="162"/>
      <c r="BMO63" s="162"/>
      <c r="BMP63" s="162"/>
      <c r="BMQ63" s="162"/>
      <c r="BMR63" s="162"/>
      <c r="BMS63" s="164"/>
      <c r="BMT63" s="162"/>
      <c r="BMU63" s="162"/>
      <c r="BMV63" s="162"/>
      <c r="BMW63" s="162"/>
      <c r="BMX63" s="162"/>
      <c r="BMY63" s="165"/>
      <c r="BMZ63" s="162"/>
      <c r="BNA63" s="162"/>
      <c r="BNB63" s="162"/>
      <c r="BNC63" s="162"/>
      <c r="BND63" s="162"/>
      <c r="BNE63" s="164"/>
      <c r="BNF63" s="162"/>
      <c r="BNG63" s="162"/>
      <c r="BNH63" s="162"/>
      <c r="BNI63" s="162"/>
      <c r="BNJ63" s="162"/>
      <c r="BNK63" s="165"/>
      <c r="BNL63" s="162"/>
      <c r="BNM63" s="162"/>
      <c r="BNN63" s="162"/>
      <c r="BNO63" s="162"/>
      <c r="BNP63" s="162"/>
      <c r="BNQ63" s="164"/>
      <c r="BNR63" s="162"/>
      <c r="BNS63" s="162"/>
      <c r="BNT63" s="162"/>
      <c r="BNU63" s="162"/>
      <c r="BNV63" s="162"/>
      <c r="BNW63" s="165"/>
      <c r="BNX63" s="162"/>
      <c r="BNY63" s="162"/>
      <c r="BNZ63" s="162"/>
      <c r="BOA63" s="162"/>
      <c r="BOB63" s="162"/>
      <c r="BOC63" s="166"/>
      <c r="BOD63" s="161"/>
      <c r="BOE63" s="162"/>
      <c r="BOF63" s="162"/>
      <c r="BOG63" s="162"/>
      <c r="BOH63" s="162"/>
      <c r="BOI63" s="163"/>
      <c r="BOJ63" s="162"/>
      <c r="BOK63" s="162"/>
      <c r="BOL63" s="162"/>
      <c r="BOM63" s="162"/>
      <c r="BON63" s="162"/>
      <c r="BOO63" s="164"/>
      <c r="BOP63" s="162"/>
      <c r="BOQ63" s="162"/>
      <c r="BOR63" s="162"/>
      <c r="BOS63" s="162"/>
      <c r="BOT63" s="162"/>
      <c r="BOU63" s="165"/>
      <c r="BOV63" s="162"/>
      <c r="BOW63" s="162"/>
      <c r="BOX63" s="162"/>
      <c r="BOY63" s="162"/>
      <c r="BOZ63" s="162"/>
      <c r="BPA63" s="164"/>
      <c r="BPB63" s="162"/>
      <c r="BPC63" s="162"/>
      <c r="BPD63" s="162"/>
      <c r="BPE63" s="162"/>
      <c r="BPF63" s="162"/>
      <c r="BPG63" s="165"/>
      <c r="BPH63" s="162"/>
      <c r="BPI63" s="162"/>
      <c r="BPJ63" s="162"/>
      <c r="BPK63" s="162"/>
      <c r="BPL63" s="162"/>
      <c r="BPM63" s="164"/>
      <c r="BPN63" s="162"/>
      <c r="BPO63" s="162"/>
      <c r="BPP63" s="162"/>
      <c r="BPQ63" s="162"/>
      <c r="BPR63" s="162"/>
      <c r="BPS63" s="165"/>
      <c r="BPT63" s="162"/>
      <c r="BPU63" s="162"/>
      <c r="BPV63" s="162"/>
      <c r="BPW63" s="162"/>
      <c r="BPX63" s="162"/>
      <c r="BPY63" s="164"/>
      <c r="BPZ63" s="162"/>
      <c r="BQA63" s="162"/>
      <c r="BQB63" s="162"/>
      <c r="BQC63" s="162"/>
      <c r="BQD63" s="162"/>
      <c r="BQE63" s="165"/>
      <c r="BQF63" s="162"/>
      <c r="BQG63" s="162"/>
      <c r="BQH63" s="162"/>
      <c r="BQI63" s="162"/>
      <c r="BQJ63" s="162"/>
      <c r="BQK63" s="166"/>
    </row>
    <row r="64" spans="1:1805" ht="20.100000000000001" customHeight="1" x14ac:dyDescent="0.3">
      <c r="A64" s="84" t="s">
        <v>20</v>
      </c>
      <c r="B64" s="53"/>
      <c r="C64" s="229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  <c r="BLV64" s="175"/>
      <c r="BLW64" s="176"/>
      <c r="BLX64" s="176"/>
      <c r="BLY64" s="176"/>
      <c r="BLZ64" s="176"/>
      <c r="BMA64" s="177"/>
      <c r="BMB64" s="176"/>
      <c r="BMC64" s="176"/>
      <c r="BMD64" s="176"/>
      <c r="BME64" s="176"/>
      <c r="BMF64" s="176"/>
      <c r="BMG64" s="178"/>
      <c r="BMH64" s="176"/>
      <c r="BMI64" s="176"/>
      <c r="BMJ64" s="176"/>
      <c r="BMK64" s="176"/>
      <c r="BML64" s="176"/>
      <c r="BMM64" s="179"/>
      <c r="BMN64" s="176"/>
      <c r="BMO64" s="176"/>
      <c r="BMP64" s="176"/>
      <c r="BMQ64" s="176"/>
      <c r="BMR64" s="176"/>
      <c r="BMS64" s="178"/>
      <c r="BMT64" s="176"/>
      <c r="BMU64" s="176"/>
      <c r="BMV64" s="176"/>
      <c r="BMW64" s="176"/>
      <c r="BMX64" s="176"/>
      <c r="BMY64" s="179"/>
      <c r="BMZ64" s="176"/>
      <c r="BNA64" s="176"/>
      <c r="BNB64" s="176"/>
      <c r="BNC64" s="176"/>
      <c r="BND64" s="176"/>
      <c r="BNE64" s="178"/>
      <c r="BNF64" s="176"/>
      <c r="BNG64" s="176"/>
      <c r="BNH64" s="176"/>
      <c r="BNI64" s="176"/>
      <c r="BNJ64" s="176"/>
      <c r="BNK64" s="179"/>
      <c r="BNL64" s="176"/>
      <c r="BNM64" s="176"/>
      <c r="BNN64" s="176"/>
      <c r="BNO64" s="176"/>
      <c r="BNP64" s="176"/>
      <c r="BNQ64" s="178"/>
      <c r="BNR64" s="176"/>
      <c r="BNS64" s="176"/>
      <c r="BNT64" s="176"/>
      <c r="BNU64" s="176"/>
      <c r="BNV64" s="176"/>
      <c r="BNW64" s="179"/>
      <c r="BNX64" s="176"/>
      <c r="BNY64" s="176"/>
      <c r="BNZ64" s="176"/>
      <c r="BOA64" s="176"/>
      <c r="BOB64" s="176"/>
      <c r="BOC64" s="180"/>
      <c r="BOD64" s="175"/>
      <c r="BOE64" s="176"/>
      <c r="BOF64" s="176"/>
      <c r="BOG64" s="176"/>
      <c r="BOH64" s="176"/>
      <c r="BOI64" s="177"/>
      <c r="BOJ64" s="176"/>
      <c r="BOK64" s="176"/>
      <c r="BOL64" s="176"/>
      <c r="BOM64" s="176"/>
      <c r="BON64" s="176"/>
      <c r="BOO64" s="178"/>
      <c r="BOP64" s="176"/>
      <c r="BOQ64" s="176"/>
      <c r="BOR64" s="176"/>
      <c r="BOS64" s="176"/>
      <c r="BOT64" s="176"/>
      <c r="BOU64" s="179"/>
      <c r="BOV64" s="176"/>
      <c r="BOW64" s="176"/>
      <c r="BOX64" s="176"/>
      <c r="BOY64" s="176"/>
      <c r="BOZ64" s="176"/>
      <c r="BPA64" s="178"/>
      <c r="BPB64" s="176"/>
      <c r="BPC64" s="176"/>
      <c r="BPD64" s="176"/>
      <c r="BPE64" s="176"/>
      <c r="BPF64" s="176"/>
      <c r="BPG64" s="179"/>
      <c r="BPH64" s="176"/>
      <c r="BPI64" s="176"/>
      <c r="BPJ64" s="176"/>
      <c r="BPK64" s="176"/>
      <c r="BPL64" s="176"/>
      <c r="BPM64" s="178"/>
      <c r="BPN64" s="176"/>
      <c r="BPO64" s="176"/>
      <c r="BPP64" s="176"/>
      <c r="BPQ64" s="176"/>
      <c r="BPR64" s="176"/>
      <c r="BPS64" s="179"/>
      <c r="BPT64" s="176"/>
      <c r="BPU64" s="176"/>
      <c r="BPV64" s="176"/>
      <c r="BPW64" s="176"/>
      <c r="BPX64" s="176"/>
      <c r="BPY64" s="178"/>
      <c r="BPZ64" s="176"/>
      <c r="BQA64" s="176"/>
      <c r="BQB64" s="176"/>
      <c r="BQC64" s="176"/>
      <c r="BQD64" s="176"/>
      <c r="BQE64" s="179"/>
      <c r="BQF64" s="176"/>
      <c r="BQG64" s="176"/>
      <c r="BQH64" s="176"/>
      <c r="BQI64" s="176"/>
      <c r="BQJ64" s="176"/>
      <c r="BQK64" s="180"/>
    </row>
    <row r="65" spans="1:1805" ht="20.100000000000001" customHeight="1" x14ac:dyDescent="0.25">
      <c r="A65" s="84" t="s">
        <v>19</v>
      </c>
      <c r="B65" s="53"/>
      <c r="C65" s="228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  <c r="BLV65" s="155"/>
      <c r="BLW65" s="156"/>
      <c r="BLX65" s="156"/>
      <c r="BLY65" s="156"/>
      <c r="BLZ65" s="156"/>
      <c r="BMA65" s="157"/>
      <c r="BMB65" s="156"/>
      <c r="BMC65" s="156"/>
      <c r="BMD65" s="156"/>
      <c r="BME65" s="156"/>
      <c r="BMF65" s="156"/>
      <c r="BMG65" s="158"/>
      <c r="BMH65" s="156"/>
      <c r="BMI65" s="156"/>
      <c r="BMJ65" s="156"/>
      <c r="BMK65" s="156"/>
      <c r="BML65" s="156"/>
      <c r="BMM65" s="159"/>
      <c r="BMN65" s="156"/>
      <c r="BMO65" s="156"/>
      <c r="BMP65" s="156"/>
      <c r="BMQ65" s="156"/>
      <c r="BMR65" s="156"/>
      <c r="BMS65" s="158"/>
      <c r="BMT65" s="156"/>
      <c r="BMU65" s="156"/>
      <c r="BMV65" s="156"/>
      <c r="BMW65" s="156"/>
      <c r="BMX65" s="156"/>
      <c r="BMY65" s="159"/>
      <c r="BMZ65" s="156"/>
      <c r="BNA65" s="156"/>
      <c r="BNB65" s="156"/>
      <c r="BNC65" s="156"/>
      <c r="BND65" s="156"/>
      <c r="BNE65" s="158"/>
      <c r="BNF65" s="156"/>
      <c r="BNG65" s="156"/>
      <c r="BNH65" s="156"/>
      <c r="BNI65" s="156"/>
      <c r="BNJ65" s="156"/>
      <c r="BNK65" s="159"/>
      <c r="BNL65" s="156"/>
      <c r="BNM65" s="156"/>
      <c r="BNN65" s="156"/>
      <c r="BNO65" s="156"/>
      <c r="BNP65" s="156"/>
      <c r="BNQ65" s="158"/>
      <c r="BNR65" s="156"/>
      <c r="BNS65" s="156"/>
      <c r="BNT65" s="156"/>
      <c r="BNU65" s="156"/>
      <c r="BNV65" s="156"/>
      <c r="BNW65" s="159"/>
      <c r="BNX65" s="156"/>
      <c r="BNY65" s="156"/>
      <c r="BNZ65" s="156"/>
      <c r="BOA65" s="156"/>
      <c r="BOB65" s="156"/>
      <c r="BOC65" s="160"/>
      <c r="BOD65" s="155"/>
      <c r="BOE65" s="156"/>
      <c r="BOF65" s="156"/>
      <c r="BOG65" s="156"/>
      <c r="BOH65" s="156"/>
      <c r="BOI65" s="157"/>
      <c r="BOJ65" s="156"/>
      <c r="BOK65" s="156"/>
      <c r="BOL65" s="156"/>
      <c r="BOM65" s="156"/>
      <c r="BON65" s="156"/>
      <c r="BOO65" s="158"/>
      <c r="BOP65" s="156"/>
      <c r="BOQ65" s="156"/>
      <c r="BOR65" s="156"/>
      <c r="BOS65" s="156"/>
      <c r="BOT65" s="156"/>
      <c r="BOU65" s="159"/>
      <c r="BOV65" s="156"/>
      <c r="BOW65" s="156"/>
      <c r="BOX65" s="156"/>
      <c r="BOY65" s="156"/>
      <c r="BOZ65" s="156"/>
      <c r="BPA65" s="158"/>
      <c r="BPB65" s="156"/>
      <c r="BPC65" s="156"/>
      <c r="BPD65" s="156"/>
      <c r="BPE65" s="156"/>
      <c r="BPF65" s="156"/>
      <c r="BPG65" s="159"/>
      <c r="BPH65" s="156"/>
      <c r="BPI65" s="156"/>
      <c r="BPJ65" s="156"/>
      <c r="BPK65" s="156"/>
      <c r="BPL65" s="156"/>
      <c r="BPM65" s="158"/>
      <c r="BPN65" s="156"/>
      <c r="BPO65" s="156"/>
      <c r="BPP65" s="156"/>
      <c r="BPQ65" s="156"/>
      <c r="BPR65" s="156"/>
      <c r="BPS65" s="159"/>
      <c r="BPT65" s="156"/>
      <c r="BPU65" s="156"/>
      <c r="BPV65" s="156"/>
      <c r="BPW65" s="156"/>
      <c r="BPX65" s="156"/>
      <c r="BPY65" s="158"/>
      <c r="BPZ65" s="156"/>
      <c r="BQA65" s="156"/>
      <c r="BQB65" s="156"/>
      <c r="BQC65" s="156"/>
      <c r="BQD65" s="156"/>
      <c r="BQE65" s="159"/>
      <c r="BQF65" s="156"/>
      <c r="BQG65" s="156"/>
      <c r="BQH65" s="156"/>
      <c r="BQI65" s="156"/>
      <c r="BQJ65" s="156"/>
      <c r="BQK65" s="160"/>
    </row>
    <row r="66" spans="1:1805" ht="20.100000000000001" customHeight="1" x14ac:dyDescent="0.3">
      <c r="A66" s="84" t="s">
        <v>20</v>
      </c>
      <c r="B66" s="53"/>
      <c r="C66" s="229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  <c r="BLV66" s="181"/>
      <c r="BLW66" s="182"/>
      <c r="BLX66" s="182"/>
      <c r="BLY66" s="182"/>
      <c r="BLZ66" s="182"/>
      <c r="BMA66" s="183"/>
      <c r="BMB66" s="182"/>
      <c r="BMC66" s="182"/>
      <c r="BMD66" s="182"/>
      <c r="BME66" s="182"/>
      <c r="BMF66" s="182"/>
      <c r="BMG66" s="184"/>
      <c r="BMH66" s="182"/>
      <c r="BMI66" s="182"/>
      <c r="BMJ66" s="182"/>
      <c r="BMK66" s="182"/>
      <c r="BML66" s="182"/>
      <c r="BMM66" s="185"/>
      <c r="BMN66" s="182"/>
      <c r="BMO66" s="182"/>
      <c r="BMP66" s="182"/>
      <c r="BMQ66" s="182"/>
      <c r="BMR66" s="182"/>
      <c r="BMS66" s="184"/>
      <c r="BMT66" s="182"/>
      <c r="BMU66" s="182"/>
      <c r="BMV66" s="182"/>
      <c r="BMW66" s="182"/>
      <c r="BMX66" s="182"/>
      <c r="BMY66" s="185"/>
      <c r="BMZ66" s="182"/>
      <c r="BNA66" s="182"/>
      <c r="BNB66" s="182"/>
      <c r="BNC66" s="182"/>
      <c r="BND66" s="182"/>
      <c r="BNE66" s="184"/>
      <c r="BNF66" s="182"/>
      <c r="BNG66" s="182"/>
      <c r="BNH66" s="182"/>
      <c r="BNI66" s="182"/>
      <c r="BNJ66" s="182"/>
      <c r="BNK66" s="185"/>
      <c r="BNL66" s="182"/>
      <c r="BNM66" s="182"/>
      <c r="BNN66" s="182"/>
      <c r="BNO66" s="182"/>
      <c r="BNP66" s="182"/>
      <c r="BNQ66" s="184"/>
      <c r="BNR66" s="182"/>
      <c r="BNS66" s="182"/>
      <c r="BNT66" s="182"/>
      <c r="BNU66" s="182"/>
      <c r="BNV66" s="182"/>
      <c r="BNW66" s="185"/>
      <c r="BNX66" s="182"/>
      <c r="BNY66" s="182"/>
      <c r="BNZ66" s="182"/>
      <c r="BOA66" s="182"/>
      <c r="BOB66" s="182"/>
      <c r="BOC66" s="186"/>
      <c r="BOD66" s="181"/>
      <c r="BOE66" s="182"/>
      <c r="BOF66" s="182"/>
      <c r="BOG66" s="182"/>
      <c r="BOH66" s="182"/>
      <c r="BOI66" s="183"/>
      <c r="BOJ66" s="182"/>
      <c r="BOK66" s="182"/>
      <c r="BOL66" s="182"/>
      <c r="BOM66" s="182"/>
      <c r="BON66" s="182"/>
      <c r="BOO66" s="184"/>
      <c r="BOP66" s="182"/>
      <c r="BOQ66" s="182"/>
      <c r="BOR66" s="182"/>
      <c r="BOS66" s="182"/>
      <c r="BOT66" s="182"/>
      <c r="BOU66" s="185"/>
      <c r="BOV66" s="182"/>
      <c r="BOW66" s="182"/>
      <c r="BOX66" s="182"/>
      <c r="BOY66" s="182"/>
      <c r="BOZ66" s="182"/>
      <c r="BPA66" s="184"/>
      <c r="BPB66" s="182"/>
      <c r="BPC66" s="182"/>
      <c r="BPD66" s="182"/>
      <c r="BPE66" s="182"/>
      <c r="BPF66" s="182"/>
      <c r="BPG66" s="185"/>
      <c r="BPH66" s="182"/>
      <c r="BPI66" s="182"/>
      <c r="BPJ66" s="182"/>
      <c r="BPK66" s="182"/>
      <c r="BPL66" s="182"/>
      <c r="BPM66" s="184"/>
      <c r="BPN66" s="182"/>
      <c r="BPO66" s="182"/>
      <c r="BPP66" s="182"/>
      <c r="BPQ66" s="182"/>
      <c r="BPR66" s="182"/>
      <c r="BPS66" s="185"/>
      <c r="BPT66" s="182"/>
      <c r="BPU66" s="182"/>
      <c r="BPV66" s="182"/>
      <c r="BPW66" s="182"/>
      <c r="BPX66" s="182"/>
      <c r="BPY66" s="184"/>
      <c r="BPZ66" s="182"/>
      <c r="BQA66" s="182"/>
      <c r="BQB66" s="182"/>
      <c r="BQC66" s="182"/>
      <c r="BQD66" s="182"/>
      <c r="BQE66" s="185"/>
      <c r="BQF66" s="182"/>
      <c r="BQG66" s="182"/>
      <c r="BQH66" s="182"/>
      <c r="BQI66" s="182"/>
      <c r="BQJ66" s="182"/>
      <c r="BQK66" s="186"/>
    </row>
    <row r="67" spans="1:1805" ht="20.100000000000001" customHeight="1" x14ac:dyDescent="0.25">
      <c r="A67" s="84" t="s">
        <v>19</v>
      </c>
      <c r="B67" s="53"/>
      <c r="C67" s="228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  <c r="BLV67" s="161"/>
      <c r="BLW67" s="162"/>
      <c r="BLX67" s="162"/>
      <c r="BLY67" s="162"/>
      <c r="BLZ67" s="162"/>
      <c r="BMA67" s="163"/>
      <c r="BMB67" s="162"/>
      <c r="BMC67" s="162"/>
      <c r="BMD67" s="162"/>
      <c r="BME67" s="162"/>
      <c r="BMF67" s="162"/>
      <c r="BMG67" s="164"/>
      <c r="BMH67" s="162"/>
      <c r="BMI67" s="162"/>
      <c r="BMJ67" s="162"/>
      <c r="BMK67" s="162"/>
      <c r="BML67" s="162"/>
      <c r="BMM67" s="165"/>
      <c r="BMN67" s="162"/>
      <c r="BMO67" s="162"/>
      <c r="BMP67" s="162"/>
      <c r="BMQ67" s="162"/>
      <c r="BMR67" s="162"/>
      <c r="BMS67" s="164"/>
      <c r="BMT67" s="162"/>
      <c r="BMU67" s="162"/>
      <c r="BMV67" s="162"/>
      <c r="BMW67" s="162"/>
      <c r="BMX67" s="162"/>
      <c r="BMY67" s="165"/>
      <c r="BMZ67" s="162"/>
      <c r="BNA67" s="162"/>
      <c r="BNB67" s="162"/>
      <c r="BNC67" s="162"/>
      <c r="BND67" s="162"/>
      <c r="BNE67" s="164"/>
      <c r="BNF67" s="162"/>
      <c r="BNG67" s="162"/>
      <c r="BNH67" s="162"/>
      <c r="BNI67" s="162"/>
      <c r="BNJ67" s="162"/>
      <c r="BNK67" s="165"/>
      <c r="BNL67" s="162"/>
      <c r="BNM67" s="162"/>
      <c r="BNN67" s="162"/>
      <c r="BNO67" s="162"/>
      <c r="BNP67" s="162"/>
      <c r="BNQ67" s="164"/>
      <c r="BNR67" s="162"/>
      <c r="BNS67" s="162"/>
      <c r="BNT67" s="162"/>
      <c r="BNU67" s="162"/>
      <c r="BNV67" s="162"/>
      <c r="BNW67" s="165"/>
      <c r="BNX67" s="162"/>
      <c r="BNY67" s="162"/>
      <c r="BNZ67" s="162"/>
      <c r="BOA67" s="162"/>
      <c r="BOB67" s="162"/>
      <c r="BOC67" s="166"/>
      <c r="BOD67" s="161"/>
      <c r="BOE67" s="162"/>
      <c r="BOF67" s="162"/>
      <c r="BOG67" s="162"/>
      <c r="BOH67" s="162"/>
      <c r="BOI67" s="163"/>
      <c r="BOJ67" s="162"/>
      <c r="BOK67" s="162"/>
      <c r="BOL67" s="162"/>
      <c r="BOM67" s="162"/>
      <c r="BON67" s="162"/>
      <c r="BOO67" s="164"/>
      <c r="BOP67" s="162"/>
      <c r="BOQ67" s="162"/>
      <c r="BOR67" s="162"/>
      <c r="BOS67" s="162"/>
      <c r="BOT67" s="162"/>
      <c r="BOU67" s="165"/>
      <c r="BOV67" s="162"/>
      <c r="BOW67" s="162"/>
      <c r="BOX67" s="162"/>
      <c r="BOY67" s="162"/>
      <c r="BOZ67" s="162"/>
      <c r="BPA67" s="164"/>
      <c r="BPB67" s="162"/>
      <c r="BPC67" s="162"/>
      <c r="BPD67" s="162"/>
      <c r="BPE67" s="162"/>
      <c r="BPF67" s="162"/>
      <c r="BPG67" s="165"/>
      <c r="BPH67" s="162"/>
      <c r="BPI67" s="162"/>
      <c r="BPJ67" s="162"/>
      <c r="BPK67" s="162"/>
      <c r="BPL67" s="162"/>
      <c r="BPM67" s="164"/>
      <c r="BPN67" s="162"/>
      <c r="BPO67" s="162"/>
      <c r="BPP67" s="162"/>
      <c r="BPQ67" s="162"/>
      <c r="BPR67" s="162"/>
      <c r="BPS67" s="165"/>
      <c r="BPT67" s="162"/>
      <c r="BPU67" s="162"/>
      <c r="BPV67" s="162"/>
      <c r="BPW67" s="162"/>
      <c r="BPX67" s="162"/>
      <c r="BPY67" s="164"/>
      <c r="BPZ67" s="162"/>
      <c r="BQA67" s="162"/>
      <c r="BQB67" s="162"/>
      <c r="BQC67" s="162"/>
      <c r="BQD67" s="162"/>
      <c r="BQE67" s="165"/>
      <c r="BQF67" s="162"/>
      <c r="BQG67" s="162"/>
      <c r="BQH67" s="162"/>
      <c r="BQI67" s="162"/>
      <c r="BQJ67" s="162"/>
      <c r="BQK67" s="166"/>
    </row>
    <row r="68" spans="1:1805" ht="20.100000000000001" customHeight="1" x14ac:dyDescent="0.25">
      <c r="A68" s="84" t="s">
        <v>20</v>
      </c>
      <c r="B68" s="53"/>
      <c r="C68" s="229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  <c r="BLV68" s="175"/>
      <c r="BLW68" s="176"/>
      <c r="BLX68" s="176"/>
      <c r="BLY68" s="176"/>
      <c r="BLZ68" s="176"/>
      <c r="BMA68" s="177"/>
      <c r="BMB68" s="176"/>
      <c r="BMC68" s="176"/>
      <c r="BMD68" s="176"/>
      <c r="BME68" s="176"/>
      <c r="BMF68" s="176"/>
      <c r="BMG68" s="178"/>
      <c r="BMH68" s="176"/>
      <c r="BMI68" s="176"/>
      <c r="BMJ68" s="176"/>
      <c r="BMK68" s="176"/>
      <c r="BML68" s="176"/>
      <c r="BMM68" s="179"/>
      <c r="BMN68" s="176"/>
      <c r="BMO68" s="176"/>
      <c r="BMP68" s="176"/>
      <c r="BMQ68" s="176"/>
      <c r="BMR68" s="176"/>
      <c r="BMS68" s="178"/>
      <c r="BMT68" s="176"/>
      <c r="BMU68" s="176"/>
      <c r="BMV68" s="176"/>
      <c r="BMW68" s="176"/>
      <c r="BMX68" s="176"/>
      <c r="BMY68" s="179"/>
      <c r="BMZ68" s="176"/>
      <c r="BNA68" s="176"/>
      <c r="BNB68" s="176"/>
      <c r="BNC68" s="176"/>
      <c r="BND68" s="176"/>
      <c r="BNE68" s="178"/>
      <c r="BNF68" s="176"/>
      <c r="BNG68" s="176"/>
      <c r="BNH68" s="176"/>
      <c r="BNI68" s="176"/>
      <c r="BNJ68" s="176"/>
      <c r="BNK68" s="179"/>
      <c r="BNL68" s="176"/>
      <c r="BNM68" s="176"/>
      <c r="BNN68" s="176"/>
      <c r="BNO68" s="176"/>
      <c r="BNP68" s="176"/>
      <c r="BNQ68" s="178"/>
      <c r="BNR68" s="176"/>
      <c r="BNS68" s="176"/>
      <c r="BNT68" s="176"/>
      <c r="BNU68" s="176"/>
      <c r="BNV68" s="176"/>
      <c r="BNW68" s="179"/>
      <c r="BNX68" s="176"/>
      <c r="BNY68" s="176"/>
      <c r="BNZ68" s="176"/>
      <c r="BOA68" s="176"/>
      <c r="BOB68" s="176"/>
      <c r="BOC68" s="180"/>
      <c r="BOD68" s="175"/>
      <c r="BOE68" s="176"/>
      <c r="BOF68" s="176"/>
      <c r="BOG68" s="176"/>
      <c r="BOH68" s="176"/>
      <c r="BOI68" s="177"/>
      <c r="BOJ68" s="176"/>
      <c r="BOK68" s="176"/>
      <c r="BOL68" s="176"/>
      <c r="BOM68" s="176"/>
      <c r="BON68" s="176"/>
      <c r="BOO68" s="178"/>
      <c r="BOP68" s="176"/>
      <c r="BOQ68" s="176"/>
      <c r="BOR68" s="176"/>
      <c r="BOS68" s="176"/>
      <c r="BOT68" s="176"/>
      <c r="BOU68" s="179"/>
      <c r="BOV68" s="176"/>
      <c r="BOW68" s="176"/>
      <c r="BOX68" s="176"/>
      <c r="BOY68" s="176"/>
      <c r="BOZ68" s="176"/>
      <c r="BPA68" s="178"/>
      <c r="BPB68" s="176"/>
      <c r="BPC68" s="176"/>
      <c r="BPD68" s="176"/>
      <c r="BPE68" s="176"/>
      <c r="BPF68" s="176"/>
      <c r="BPG68" s="179"/>
      <c r="BPH68" s="176"/>
      <c r="BPI68" s="176"/>
      <c r="BPJ68" s="176"/>
      <c r="BPK68" s="176"/>
      <c r="BPL68" s="176"/>
      <c r="BPM68" s="178"/>
      <c r="BPN68" s="176"/>
      <c r="BPO68" s="176"/>
      <c r="BPP68" s="176"/>
      <c r="BPQ68" s="176"/>
      <c r="BPR68" s="176"/>
      <c r="BPS68" s="179"/>
      <c r="BPT68" s="176"/>
      <c r="BPU68" s="176"/>
      <c r="BPV68" s="176"/>
      <c r="BPW68" s="176"/>
      <c r="BPX68" s="176"/>
      <c r="BPY68" s="178"/>
      <c r="BPZ68" s="176"/>
      <c r="BQA68" s="176"/>
      <c r="BQB68" s="176"/>
      <c r="BQC68" s="176"/>
      <c r="BQD68" s="176"/>
      <c r="BQE68" s="179"/>
      <c r="BQF68" s="176"/>
      <c r="BQG68" s="176"/>
      <c r="BQH68" s="176"/>
      <c r="BQI68" s="176"/>
      <c r="BQJ68" s="176"/>
      <c r="BQK68" s="180"/>
    </row>
    <row r="69" spans="1:1805" ht="20.100000000000001" customHeight="1" x14ac:dyDescent="0.25">
      <c r="B69" s="53"/>
      <c r="C69" s="245" t="s">
        <v>9</v>
      </c>
      <c r="D69" s="246"/>
      <c r="E69" s="101">
        <f>SUM(E15,E17,E19,E21,E23,E25,E27,E29,E31,E33,E35,E37,E39,E41,E43,E45,E47,E49,E51,E53,E55,E57,E59,E61,E63,E65,E67)</f>
        <v>1068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</row>
    <row r="70" spans="1:1805" ht="20.100000000000001" customHeight="1" thickBot="1" x14ac:dyDescent="0.3">
      <c r="B70" s="53"/>
      <c r="C70" s="247"/>
      <c r="D70" s="248"/>
      <c r="E70" s="107" t="str">
        <f xml:space="preserve"> setValueToTime(E69)</f>
        <v>89h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</row>
    <row r="71" spans="1:1805" ht="20.100000000000001" customHeight="1" x14ac:dyDescent="0.25">
      <c r="B71" s="53"/>
      <c r="C71" s="241" t="s">
        <v>10</v>
      </c>
      <c r="D71" s="242"/>
      <c r="E71" s="102">
        <f>SUM(E16,E18,E20,E22,E24,E26,E28,E30,E32,E34,E36,E38,E40,E42,E44,E46,E48,E50,E52,E54,E56,E58,E60,E62,E64,E66,E68)</f>
        <v>362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</row>
    <row r="72" spans="1:1805" ht="20.100000000000001" customHeight="1" thickBot="1" x14ac:dyDescent="0.3">
      <c r="B72" s="53"/>
      <c r="C72" s="243"/>
      <c r="D72" s="244"/>
      <c r="E72" s="106" t="str">
        <f xml:space="preserve"> setValueToTime(E71)</f>
        <v>30h10min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</row>
    <row r="73" spans="1:180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</row>
    <row r="74" spans="1:1805" x14ac:dyDescent="0.25"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</row>
    <row r="75" spans="1:1805" x14ac:dyDescent="0.25"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</row>
    <row r="76" spans="1:1805" x14ac:dyDescent="0.25"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</row>
    <row r="77" spans="1:1805" x14ac:dyDescent="0.25"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</row>
    <row r="78" spans="1:1805" x14ac:dyDescent="0.25"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</row>
    <row r="79" spans="1:1805" x14ac:dyDescent="0.25"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</row>
    <row r="80" spans="1:1805" x14ac:dyDescent="0.25"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</row>
    <row r="81" spans="1266:1805" x14ac:dyDescent="0.25"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</row>
    <row r="82" spans="1266:1805" x14ac:dyDescent="0.25"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</row>
    <row r="83" spans="1266:1805" x14ac:dyDescent="0.25"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</row>
    <row r="84" spans="1266:1805" x14ac:dyDescent="0.25"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</row>
    <row r="85" spans="1266:1805" x14ac:dyDescent="0.25"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</row>
    <row r="86" spans="1266:1805" x14ac:dyDescent="0.25"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</row>
    <row r="87" spans="1266:1805" x14ac:dyDescent="0.25"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</row>
    <row r="88" spans="1266:1805" x14ac:dyDescent="0.25"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</row>
    <row r="89" spans="1266:1805" x14ac:dyDescent="0.25"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</row>
    <row r="90" spans="1266:1805" x14ac:dyDescent="0.25"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</row>
    <row r="91" spans="1266:1805" x14ac:dyDescent="0.25"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</row>
    <row r="92" spans="1266:1805" x14ac:dyDescent="0.25"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</row>
    <row r="93" spans="1266:1805" x14ac:dyDescent="0.25"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</row>
    <row r="94" spans="1266:1805" x14ac:dyDescent="0.25"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</row>
    <row r="95" spans="1266:1805" x14ac:dyDescent="0.25"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</row>
    <row r="96" spans="1266:1805" ht="14.25" thickBot="1" x14ac:dyDescent="0.3"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</row>
    <row r="97" spans="1266:1805" x14ac:dyDescent="0.25"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</row>
    <row r="98" spans="1266:1805" ht="14.25" thickBot="1" x14ac:dyDescent="0.3"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</row>
    <row r="99" spans="1266:1805" ht="14.25" thickBot="1" x14ac:dyDescent="0.3"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</row>
  </sheetData>
  <sheetProtection insertRows="0" insertHyperlinks="0" selectLockedCells="1"/>
  <mergeCells count="427"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8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365" max="1048575" man="1"/>
    <brk id="785" max="1048575" man="1"/>
    <brk id="1205" max="1048575" man="1"/>
    <brk id="16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7"/>
  <sheetViews>
    <sheetView showGridLines="0" view="pageBreakPreview" zoomScale="98" zoomScaleNormal="100" zoomScaleSheetLayoutView="98" workbookViewId="0">
      <pane ySplit="1" topLeftCell="A178" activePane="bottomLeft" state="frozen"/>
      <selection activeCell="BC13" sqref="BC13"/>
      <selection pane="bottomLeft" activeCell="D20" sqref="D20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27</v>
      </c>
      <c r="C2" s="146"/>
      <c r="D2" s="67" t="s">
        <v>14</v>
      </c>
      <c r="E2" s="79">
        <v>45441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1" t="s">
        <v>13</v>
      </c>
      <c r="F3" s="252"/>
      <c r="G3" s="39"/>
    </row>
    <row r="4" spans="1:7" s="44" customFormat="1" x14ac:dyDescent="0.3">
      <c r="A4" s="41" t="s">
        <v>16</v>
      </c>
      <c r="B4" s="42">
        <v>2</v>
      </c>
      <c r="C4" s="137" t="str">
        <f t="shared" ref="C4:C5" si="0" xml:space="preserve"> IF(B4="","",setValueToTime(B4))</f>
        <v>0h10min</v>
      </c>
      <c r="D4" s="43" t="s">
        <v>99</v>
      </c>
      <c r="E4" s="253"/>
      <c r="F4" s="254"/>
      <c r="G4" s="3"/>
    </row>
    <row r="5" spans="1:7" s="44" customFormat="1" x14ac:dyDescent="0.3">
      <c r="A5" s="45" t="s">
        <v>77</v>
      </c>
      <c r="B5" s="46">
        <v>14</v>
      </c>
      <c r="C5" s="137" t="str">
        <f t="shared" si="0"/>
        <v>1h10min</v>
      </c>
      <c r="D5" s="47" t="s">
        <v>128</v>
      </c>
      <c r="E5" s="255"/>
      <c r="F5" s="256"/>
      <c r="G5" s="3"/>
    </row>
    <row r="6" spans="1:7" s="44" customFormat="1" x14ac:dyDescent="0.3">
      <c r="A6" s="45" t="s">
        <v>78</v>
      </c>
      <c r="B6" s="46">
        <v>24</v>
      </c>
      <c r="C6" s="136" t="str">
        <f t="shared" ref="C6:C11" si="1" xml:space="preserve"> IF(B6="","",setValueToTime(B6))</f>
        <v>2h</v>
      </c>
      <c r="D6" s="47" t="s">
        <v>129</v>
      </c>
      <c r="E6" s="255"/>
      <c r="F6" s="256"/>
      <c r="G6" s="3"/>
    </row>
    <row r="7" spans="1:7" s="44" customFormat="1" x14ac:dyDescent="0.3">
      <c r="A7" s="45"/>
      <c r="B7" s="46"/>
      <c r="C7" s="136" t="str">
        <f t="shared" si="1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1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1"/>
        <v/>
      </c>
      <c r="D9" s="47"/>
      <c r="E9" s="255"/>
      <c r="F9" s="256"/>
      <c r="G9" s="3"/>
    </row>
    <row r="10" spans="1:7" s="44" customFormat="1" x14ac:dyDescent="0.3">
      <c r="A10" s="46"/>
      <c r="B10" s="46"/>
      <c r="C10" s="137" t="str">
        <f t="shared" si="1"/>
        <v/>
      </c>
      <c r="D10" s="47"/>
      <c r="E10" s="255"/>
      <c r="F10" s="256"/>
      <c r="G10" s="3"/>
    </row>
    <row r="11" spans="1:7" s="44" customFormat="1" ht="15" thickBot="1" x14ac:dyDescent="0.35">
      <c r="A11" s="48"/>
      <c r="B11" s="48"/>
      <c r="C11" s="138" t="str">
        <f t="shared" si="1"/>
        <v/>
      </c>
      <c r="D11" s="49"/>
      <c r="E11" s="257"/>
      <c r="F11" s="258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176</v>
      </c>
      <c r="E12" s="249"/>
      <c r="F12" s="250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26</v>
      </c>
      <c r="C14" s="146"/>
      <c r="D14" s="67" t="s">
        <v>14</v>
      </c>
      <c r="E14" s="79">
        <v>45441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1" t="s">
        <v>13</v>
      </c>
      <c r="F15" s="252"/>
      <c r="G15" s="39"/>
    </row>
    <row r="16" spans="1:7" s="44" customFormat="1" x14ac:dyDescent="0.3">
      <c r="A16" s="45" t="s">
        <v>77</v>
      </c>
      <c r="B16" s="46">
        <v>20</v>
      </c>
      <c r="C16" s="136" t="str">
        <f t="shared" ref="C16" si="2" xml:space="preserve"> IF(B16="","",setValueToTime(B16))</f>
        <v>1h40min</v>
      </c>
      <c r="D16" s="47" t="s">
        <v>126</v>
      </c>
      <c r="E16" s="253"/>
      <c r="F16" s="254"/>
      <c r="G16" s="3"/>
    </row>
    <row r="17" spans="1:7" s="44" customFormat="1" x14ac:dyDescent="0.3">
      <c r="A17" s="45" t="s">
        <v>78</v>
      </c>
      <c r="B17" s="46">
        <v>20</v>
      </c>
      <c r="C17" s="136" t="str">
        <f t="shared" ref="C17:C23" si="3" xml:space="preserve"> IF(B17="","",setValueToTime(B17))</f>
        <v>1h40min</v>
      </c>
      <c r="D17" s="47" t="s">
        <v>127</v>
      </c>
      <c r="E17" s="255"/>
      <c r="F17" s="256"/>
      <c r="G17" s="3"/>
    </row>
    <row r="18" spans="1:7" s="44" customFormat="1" x14ac:dyDescent="0.3">
      <c r="A18" s="45"/>
      <c r="B18" s="46"/>
      <c r="C18" s="136" t="str">
        <f t="shared" si="3"/>
        <v/>
      </c>
      <c r="D18" s="47"/>
      <c r="E18" s="255"/>
      <c r="F18" s="256"/>
      <c r="G18" s="3"/>
    </row>
    <row r="19" spans="1:7" s="44" customFormat="1" x14ac:dyDescent="0.3">
      <c r="A19" s="45"/>
      <c r="B19" s="46"/>
      <c r="C19" s="136" t="str">
        <f t="shared" si="3"/>
        <v/>
      </c>
      <c r="D19" s="47"/>
      <c r="E19" s="255"/>
      <c r="F19" s="256"/>
      <c r="G19" s="3"/>
    </row>
    <row r="20" spans="1:7" s="44" customFormat="1" x14ac:dyDescent="0.3">
      <c r="A20" s="46"/>
      <c r="B20" s="46"/>
      <c r="C20" s="137" t="str">
        <f t="shared" si="3"/>
        <v/>
      </c>
      <c r="D20" s="47"/>
      <c r="E20" s="255"/>
      <c r="F20" s="256"/>
      <c r="G20" s="3"/>
    </row>
    <row r="21" spans="1:7" s="44" customFormat="1" x14ac:dyDescent="0.3">
      <c r="A21" s="46"/>
      <c r="B21" s="46"/>
      <c r="C21" s="137" t="str">
        <f t="shared" si="3"/>
        <v/>
      </c>
      <c r="D21" s="47"/>
      <c r="E21" s="255"/>
      <c r="F21" s="256"/>
      <c r="G21" s="3"/>
    </row>
    <row r="22" spans="1:7" s="44" customFormat="1" x14ac:dyDescent="0.3">
      <c r="A22" s="46"/>
      <c r="B22" s="46"/>
      <c r="C22" s="137" t="str">
        <f t="shared" si="3"/>
        <v/>
      </c>
      <c r="D22" s="47"/>
      <c r="E22" s="255"/>
      <c r="F22" s="256"/>
      <c r="G22" s="3"/>
    </row>
    <row r="23" spans="1:7" s="44" customFormat="1" ht="15" thickBot="1" x14ac:dyDescent="0.35">
      <c r="A23" s="48"/>
      <c r="B23" s="48"/>
      <c r="C23" s="138" t="str">
        <f t="shared" si="3"/>
        <v/>
      </c>
      <c r="D23" s="49"/>
      <c r="E23" s="257"/>
      <c r="F23" s="258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176</v>
      </c>
      <c r="E24" s="249"/>
      <c r="F24" s="250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25</v>
      </c>
      <c r="C26" s="146"/>
      <c r="D26" s="67" t="s">
        <v>14</v>
      </c>
      <c r="E26" s="79">
        <v>45439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1" t="s">
        <v>13</v>
      </c>
      <c r="F27" s="252"/>
      <c r="G27" s="39"/>
    </row>
    <row r="28" spans="1:7" s="44" customFormat="1" x14ac:dyDescent="0.3">
      <c r="A28" s="41" t="s">
        <v>16</v>
      </c>
      <c r="B28" s="42">
        <v>2</v>
      </c>
      <c r="C28" s="137" t="str">
        <f t="shared" ref="C28:C29" si="4" xml:space="preserve"> IF(B28="","",setValueToTime(B28))</f>
        <v>0h10min</v>
      </c>
      <c r="D28" s="43" t="s">
        <v>99</v>
      </c>
      <c r="E28" s="253"/>
      <c r="F28" s="254"/>
      <c r="G28" s="3"/>
    </row>
    <row r="29" spans="1:7" s="44" customFormat="1" x14ac:dyDescent="0.3">
      <c r="A29" s="45" t="s">
        <v>15</v>
      </c>
      <c r="B29" s="46">
        <v>12</v>
      </c>
      <c r="C29" s="136" t="str">
        <f t="shared" si="4"/>
        <v>1h</v>
      </c>
      <c r="D29" s="47" t="s">
        <v>125</v>
      </c>
      <c r="E29" s="255"/>
      <c r="F29" s="256"/>
      <c r="G29" s="3"/>
    </row>
    <row r="30" spans="1:7" s="44" customFormat="1" x14ac:dyDescent="0.3">
      <c r="A30" s="45" t="s">
        <v>77</v>
      </c>
      <c r="B30" s="46">
        <v>8</v>
      </c>
      <c r="C30" s="136" t="str">
        <f t="shared" ref="C30:C35" si="5" xml:space="preserve"> IF(B30="","",setValueToTime(B30))</f>
        <v>0h40min</v>
      </c>
      <c r="D30" s="47" t="s">
        <v>130</v>
      </c>
      <c r="E30" s="255"/>
      <c r="F30" s="256"/>
      <c r="G30" s="3"/>
    </row>
    <row r="31" spans="1:7" s="44" customFormat="1" x14ac:dyDescent="0.3">
      <c r="A31" s="45" t="s">
        <v>89</v>
      </c>
      <c r="B31" s="46">
        <v>4</v>
      </c>
      <c r="C31" s="136" t="str">
        <f t="shared" si="5"/>
        <v>0h20min</v>
      </c>
      <c r="D31" s="47" t="s">
        <v>173</v>
      </c>
      <c r="E31" s="255"/>
      <c r="F31" s="256"/>
      <c r="G31" s="3"/>
    </row>
    <row r="32" spans="1:7" s="44" customFormat="1" x14ac:dyDescent="0.3">
      <c r="A32" s="46"/>
      <c r="B32" s="46"/>
      <c r="C32" s="137" t="str">
        <f t="shared" si="5"/>
        <v/>
      </c>
      <c r="D32" s="47"/>
      <c r="E32" s="255"/>
      <c r="F32" s="256"/>
      <c r="G32" s="3"/>
    </row>
    <row r="33" spans="1:7" s="44" customFormat="1" x14ac:dyDescent="0.3">
      <c r="A33" s="46"/>
      <c r="B33" s="46"/>
      <c r="C33" s="137" t="str">
        <f t="shared" si="5"/>
        <v/>
      </c>
      <c r="D33" s="47"/>
      <c r="E33" s="255"/>
      <c r="F33" s="256"/>
      <c r="G33" s="3"/>
    </row>
    <row r="34" spans="1:7" s="44" customFormat="1" x14ac:dyDescent="0.3">
      <c r="A34" s="46"/>
      <c r="B34" s="46"/>
      <c r="C34" s="137" t="str">
        <f t="shared" si="5"/>
        <v/>
      </c>
      <c r="D34" s="47"/>
      <c r="E34" s="255"/>
      <c r="F34" s="256"/>
      <c r="G34" s="3"/>
    </row>
    <row r="35" spans="1:7" s="44" customFormat="1" ht="15" thickBot="1" x14ac:dyDescent="0.35">
      <c r="A35" s="48"/>
      <c r="B35" s="48"/>
      <c r="C35" s="138" t="str">
        <f t="shared" si="5"/>
        <v/>
      </c>
      <c r="D35" s="49"/>
      <c r="E35" s="257"/>
      <c r="F35" s="258"/>
      <c r="G35" s="3"/>
    </row>
    <row r="36" spans="1:7" s="44" customFormat="1" ht="15" thickBot="1" x14ac:dyDescent="0.35">
      <c r="A36" s="95" t="s">
        <v>28</v>
      </c>
      <c r="B36" s="69">
        <f>SUM(B28:B35)</f>
        <v>26</v>
      </c>
      <c r="C36" s="95" t="str">
        <f xml:space="preserve"> setValueToTime(B36)</f>
        <v>2h10min</v>
      </c>
      <c r="D36" s="192" t="s">
        <v>186</v>
      </c>
      <c r="E36" s="249"/>
      <c r="F36" s="250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24</v>
      </c>
      <c r="C38" s="146"/>
      <c r="D38" s="67" t="s">
        <v>14</v>
      </c>
      <c r="E38" s="79">
        <v>45439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1" t="s">
        <v>13</v>
      </c>
      <c r="F39" s="252"/>
      <c r="G39" s="39"/>
    </row>
    <row r="40" spans="1:7" s="44" customFormat="1" x14ac:dyDescent="0.3">
      <c r="A40" s="45" t="s">
        <v>15</v>
      </c>
      <c r="B40" s="46">
        <v>46</v>
      </c>
      <c r="C40" s="136" t="str">
        <f t="shared" ref="C40" si="6" xml:space="preserve"> IF(B40="","",setValueToTime(B40))</f>
        <v>3h50min</v>
      </c>
      <c r="D40" s="47" t="s">
        <v>125</v>
      </c>
      <c r="E40" s="253"/>
      <c r="F40" s="254"/>
      <c r="G40" s="3"/>
    </row>
    <row r="41" spans="1:7" s="44" customFormat="1" x14ac:dyDescent="0.3">
      <c r="A41" s="45"/>
      <c r="B41" s="46"/>
      <c r="C41" s="136" t="str">
        <f t="shared" ref="C41:C47" si="7" xml:space="preserve"> IF(B41="","",setValueToTime(B41))</f>
        <v/>
      </c>
      <c r="D41" s="47"/>
      <c r="E41" s="255"/>
      <c r="F41" s="256"/>
      <c r="G41" s="3"/>
    </row>
    <row r="42" spans="1:7" s="44" customFormat="1" x14ac:dyDescent="0.3">
      <c r="A42" s="45"/>
      <c r="B42" s="46"/>
      <c r="C42" s="136" t="str">
        <f t="shared" si="7"/>
        <v/>
      </c>
      <c r="D42" s="47"/>
      <c r="E42" s="255"/>
      <c r="F42" s="256"/>
      <c r="G42" s="3"/>
    </row>
    <row r="43" spans="1:7" s="44" customFormat="1" x14ac:dyDescent="0.3">
      <c r="A43" s="45"/>
      <c r="B43" s="46"/>
      <c r="C43" s="136" t="str">
        <f t="shared" si="7"/>
        <v/>
      </c>
      <c r="D43" s="47"/>
      <c r="E43" s="255"/>
      <c r="F43" s="256"/>
      <c r="G43" s="3"/>
    </row>
    <row r="44" spans="1:7" s="44" customFormat="1" x14ac:dyDescent="0.3">
      <c r="A44" s="46"/>
      <c r="B44" s="46"/>
      <c r="C44" s="137" t="str">
        <f t="shared" si="7"/>
        <v/>
      </c>
      <c r="D44" s="47"/>
      <c r="E44" s="255"/>
      <c r="F44" s="256"/>
      <c r="G44" s="3"/>
    </row>
    <row r="45" spans="1:7" s="44" customFormat="1" x14ac:dyDescent="0.3">
      <c r="A45" s="46"/>
      <c r="B45" s="46"/>
      <c r="C45" s="137" t="str">
        <f t="shared" si="7"/>
        <v/>
      </c>
      <c r="D45" s="47"/>
      <c r="E45" s="255"/>
      <c r="F45" s="256"/>
      <c r="G45" s="3"/>
    </row>
    <row r="46" spans="1:7" s="44" customFormat="1" x14ac:dyDescent="0.3">
      <c r="A46" s="46"/>
      <c r="B46" s="46"/>
      <c r="C46" s="137" t="str">
        <f t="shared" si="7"/>
        <v/>
      </c>
      <c r="D46" s="47"/>
      <c r="E46" s="255"/>
      <c r="F46" s="256"/>
      <c r="G46" s="3"/>
    </row>
    <row r="47" spans="1:7" s="44" customFormat="1" ht="15" thickBot="1" x14ac:dyDescent="0.35">
      <c r="A47" s="48"/>
      <c r="B47" s="48"/>
      <c r="C47" s="138" t="str">
        <f t="shared" si="7"/>
        <v/>
      </c>
      <c r="D47" s="49"/>
      <c r="E47" s="257"/>
      <c r="F47" s="258"/>
      <c r="G47" s="3"/>
    </row>
    <row r="48" spans="1:7" s="44" customFormat="1" ht="15" thickBot="1" x14ac:dyDescent="0.35">
      <c r="A48" s="95" t="s">
        <v>28</v>
      </c>
      <c r="B48" s="69">
        <f>SUM(B40:B47)</f>
        <v>46</v>
      </c>
      <c r="C48" s="95" t="str">
        <f xml:space="preserve"> setValueToTime(B48)</f>
        <v>3h50min</v>
      </c>
      <c r="D48" s="192" t="s">
        <v>178</v>
      </c>
      <c r="E48" s="249"/>
      <c r="F48" s="250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23</v>
      </c>
      <c r="C50" s="146"/>
      <c r="D50" s="67" t="s">
        <v>14</v>
      </c>
      <c r="E50" s="79">
        <v>45436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1" t="s">
        <v>13</v>
      </c>
      <c r="F51" s="252"/>
      <c r="G51" s="39"/>
    </row>
    <row r="52" spans="1:7" s="44" customFormat="1" x14ac:dyDescent="0.3">
      <c r="A52" s="41" t="s">
        <v>16</v>
      </c>
      <c r="B52" s="42">
        <v>2</v>
      </c>
      <c r="C52" s="137" t="str">
        <f t="shared" ref="C52:C53" si="8" xml:space="preserve"> IF(B52="","",setValueToTime(B52))</f>
        <v>0h10min</v>
      </c>
      <c r="D52" s="43" t="s">
        <v>99</v>
      </c>
      <c r="E52" s="253"/>
      <c r="F52" s="254"/>
      <c r="G52" s="3"/>
    </row>
    <row r="53" spans="1:7" s="44" customFormat="1" x14ac:dyDescent="0.3">
      <c r="A53" s="45" t="s">
        <v>15</v>
      </c>
      <c r="B53" s="46">
        <v>26</v>
      </c>
      <c r="C53" s="136" t="str">
        <f t="shared" si="8"/>
        <v>2h10min</v>
      </c>
      <c r="D53" s="47" t="s">
        <v>125</v>
      </c>
      <c r="E53" s="255"/>
      <c r="F53" s="256"/>
      <c r="G53" s="3"/>
    </row>
    <row r="54" spans="1:7" s="44" customFormat="1" x14ac:dyDescent="0.3">
      <c r="A54" s="45" t="s">
        <v>89</v>
      </c>
      <c r="B54" s="46">
        <v>6</v>
      </c>
      <c r="C54" s="136" t="str">
        <f t="shared" ref="C54:C59" si="9" xml:space="preserve"> IF(B54="","",setValueToTime(B54))</f>
        <v>0h30min</v>
      </c>
      <c r="D54" s="47" t="s">
        <v>172</v>
      </c>
      <c r="E54" s="255"/>
      <c r="F54" s="256"/>
      <c r="G54" s="3"/>
    </row>
    <row r="55" spans="1:7" s="44" customFormat="1" x14ac:dyDescent="0.3">
      <c r="A55" s="45"/>
      <c r="B55" s="46"/>
      <c r="C55" s="136" t="str">
        <f t="shared" si="9"/>
        <v/>
      </c>
      <c r="D55" s="47"/>
      <c r="E55" s="255"/>
      <c r="F55" s="256"/>
      <c r="G55" s="3"/>
    </row>
    <row r="56" spans="1:7" s="44" customFormat="1" x14ac:dyDescent="0.3">
      <c r="A56" s="46"/>
      <c r="B56" s="46"/>
      <c r="C56" s="137" t="str">
        <f t="shared" si="9"/>
        <v/>
      </c>
      <c r="D56" s="47"/>
      <c r="E56" s="255"/>
      <c r="F56" s="256"/>
      <c r="G56" s="3"/>
    </row>
    <row r="57" spans="1:7" s="44" customFormat="1" x14ac:dyDescent="0.3">
      <c r="A57" s="46"/>
      <c r="B57" s="46"/>
      <c r="C57" s="137" t="str">
        <f t="shared" si="9"/>
        <v/>
      </c>
      <c r="D57" s="47"/>
      <c r="E57" s="255"/>
      <c r="F57" s="256"/>
      <c r="G57" s="3"/>
    </row>
    <row r="58" spans="1:7" s="44" customFormat="1" x14ac:dyDescent="0.3">
      <c r="A58" s="46"/>
      <c r="B58" s="46"/>
      <c r="C58" s="137" t="str">
        <f t="shared" si="9"/>
        <v/>
      </c>
      <c r="D58" s="47"/>
      <c r="E58" s="255"/>
      <c r="F58" s="256"/>
      <c r="G58" s="3"/>
    </row>
    <row r="59" spans="1:7" s="44" customFormat="1" ht="15" thickBot="1" x14ac:dyDescent="0.35">
      <c r="A59" s="48"/>
      <c r="B59" s="48"/>
      <c r="C59" s="138" t="str">
        <f t="shared" si="9"/>
        <v/>
      </c>
      <c r="D59" s="49"/>
      <c r="E59" s="257"/>
      <c r="F59" s="258"/>
      <c r="G59" s="3"/>
    </row>
    <row r="60" spans="1:7" s="44" customFormat="1" ht="15" thickBot="1" x14ac:dyDescent="0.35">
      <c r="A60" s="95" t="s">
        <v>28</v>
      </c>
      <c r="B60" s="69">
        <f>SUM(B52:B59)</f>
        <v>34</v>
      </c>
      <c r="C60" s="95" t="str">
        <f xml:space="preserve"> setValueToTime(B60)</f>
        <v>2h50min</v>
      </c>
      <c r="D60" s="192" t="s">
        <v>179</v>
      </c>
      <c r="E60" s="249"/>
      <c r="F60" s="250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22</v>
      </c>
      <c r="C62" s="146"/>
      <c r="D62" s="67" t="s">
        <v>14</v>
      </c>
      <c r="E62" s="79">
        <v>45436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1" t="s">
        <v>13</v>
      </c>
      <c r="F63" s="252"/>
      <c r="G63" s="39"/>
    </row>
    <row r="64" spans="1:7" s="44" customFormat="1" x14ac:dyDescent="0.3">
      <c r="A64" s="41" t="s">
        <v>89</v>
      </c>
      <c r="B64" s="42">
        <v>12</v>
      </c>
      <c r="C64" s="135" t="str">
        <f xml:space="preserve"> IF(B64="","",setValueToTime(B64))</f>
        <v>1h</v>
      </c>
      <c r="D64" s="43" t="s">
        <v>168</v>
      </c>
      <c r="E64" s="253"/>
      <c r="F64" s="254"/>
      <c r="G64" s="3"/>
    </row>
    <row r="65" spans="1:7" s="44" customFormat="1" x14ac:dyDescent="0.3">
      <c r="A65" s="45" t="s">
        <v>15</v>
      </c>
      <c r="B65" s="46">
        <v>32</v>
      </c>
      <c r="C65" s="136" t="str">
        <f t="shared" ref="C65:C71" si="10" xml:space="preserve"> IF(B65="","",setValueToTime(B65))</f>
        <v>2h40min</v>
      </c>
      <c r="D65" s="47" t="s">
        <v>125</v>
      </c>
      <c r="E65" s="255"/>
      <c r="F65" s="256"/>
      <c r="G65" s="3"/>
    </row>
    <row r="66" spans="1:7" s="44" customFormat="1" x14ac:dyDescent="0.3">
      <c r="A66" s="45"/>
      <c r="B66" s="46"/>
      <c r="C66" s="136" t="str">
        <f t="shared" si="10"/>
        <v/>
      </c>
      <c r="D66" s="47"/>
      <c r="E66" s="255"/>
      <c r="F66" s="256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55"/>
      <c r="F67" s="256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55"/>
      <c r="F68" s="256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55"/>
      <c r="F69" s="256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55"/>
      <c r="F70" s="256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7"/>
      <c r="F71" s="258"/>
      <c r="G71" s="3"/>
    </row>
    <row r="72" spans="1:7" s="44" customFormat="1" ht="15" thickBot="1" x14ac:dyDescent="0.35">
      <c r="A72" s="95" t="s">
        <v>28</v>
      </c>
      <c r="B72" s="69">
        <f>SUM(B64:B71)</f>
        <v>44</v>
      </c>
      <c r="C72" s="95" t="str">
        <f xml:space="preserve"> setValueToTime(B72)</f>
        <v>3h40min</v>
      </c>
      <c r="D72" s="192" t="s">
        <v>180</v>
      </c>
      <c r="E72" s="249"/>
      <c r="F72" s="250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21</v>
      </c>
      <c r="C74" s="146"/>
      <c r="D74" s="67" t="s">
        <v>14</v>
      </c>
      <c r="E74" s="79">
        <v>45435</v>
      </c>
      <c r="F74" s="110" t="s">
        <v>46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1" t="s">
        <v>13</v>
      </c>
      <c r="F75" s="252"/>
      <c r="G75" s="39"/>
    </row>
    <row r="76" spans="1:7" s="44" customFormat="1" x14ac:dyDescent="0.3">
      <c r="A76" s="41" t="s">
        <v>16</v>
      </c>
      <c r="B76" s="42">
        <v>2</v>
      </c>
      <c r="C76" s="137" t="str">
        <f t="shared" ref="C76:C77" si="11" xml:space="preserve"> IF(B76="","",setValueToTime(B76))</f>
        <v>0h10min</v>
      </c>
      <c r="D76" s="43" t="s">
        <v>99</v>
      </c>
      <c r="E76" s="253"/>
      <c r="F76" s="254"/>
      <c r="G76" s="3"/>
    </row>
    <row r="77" spans="1:7" s="44" customFormat="1" x14ac:dyDescent="0.3">
      <c r="A77" s="45" t="s">
        <v>15</v>
      </c>
      <c r="B77" s="46">
        <v>36</v>
      </c>
      <c r="C77" s="137" t="str">
        <f t="shared" si="11"/>
        <v>3h</v>
      </c>
      <c r="D77" s="47" t="s">
        <v>125</v>
      </c>
      <c r="E77" s="255"/>
      <c r="F77" s="256"/>
      <c r="G77" s="3"/>
    </row>
    <row r="78" spans="1:7" s="44" customFormat="1" x14ac:dyDescent="0.3">
      <c r="A78" s="45"/>
      <c r="B78" s="46"/>
      <c r="C78" s="136" t="str">
        <f t="shared" ref="C78:C83" si="12" xml:space="preserve"> IF(B78="","",setValueToTime(B78))</f>
        <v/>
      </c>
      <c r="D78" s="47"/>
      <c r="E78" s="255"/>
      <c r="F78" s="256"/>
      <c r="G78" s="3"/>
    </row>
    <row r="79" spans="1:7" s="44" customFormat="1" x14ac:dyDescent="0.3">
      <c r="A79" s="45"/>
      <c r="B79" s="46"/>
      <c r="C79" s="136" t="str">
        <f t="shared" si="12"/>
        <v/>
      </c>
      <c r="D79" s="47"/>
      <c r="E79" s="255"/>
      <c r="F79" s="256"/>
      <c r="G79" s="3"/>
    </row>
    <row r="80" spans="1:7" s="44" customFormat="1" x14ac:dyDescent="0.3">
      <c r="A80" s="46"/>
      <c r="B80" s="46"/>
      <c r="C80" s="137" t="str">
        <f t="shared" si="12"/>
        <v/>
      </c>
      <c r="D80" s="47"/>
      <c r="E80" s="255"/>
      <c r="F80" s="256"/>
      <c r="G80" s="3"/>
    </row>
    <row r="81" spans="1:7" s="44" customFormat="1" x14ac:dyDescent="0.3">
      <c r="A81" s="46"/>
      <c r="B81" s="46"/>
      <c r="C81" s="137" t="str">
        <f t="shared" si="12"/>
        <v/>
      </c>
      <c r="D81" s="47"/>
      <c r="E81" s="255"/>
      <c r="F81" s="256"/>
      <c r="G81" s="3"/>
    </row>
    <row r="82" spans="1:7" s="44" customFormat="1" x14ac:dyDescent="0.3">
      <c r="A82" s="46"/>
      <c r="B82" s="46"/>
      <c r="C82" s="137" t="str">
        <f t="shared" si="12"/>
        <v/>
      </c>
      <c r="D82" s="47"/>
      <c r="E82" s="255"/>
      <c r="F82" s="256"/>
      <c r="G82" s="3"/>
    </row>
    <row r="83" spans="1:7" s="44" customFormat="1" ht="15" thickBot="1" x14ac:dyDescent="0.35">
      <c r="A83" s="48"/>
      <c r="B83" s="48"/>
      <c r="C83" s="138" t="str">
        <f t="shared" si="12"/>
        <v/>
      </c>
      <c r="D83" s="49"/>
      <c r="E83" s="257"/>
      <c r="F83" s="258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92" t="s">
        <v>177</v>
      </c>
      <c r="E84" s="249"/>
      <c r="F84" s="250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20</v>
      </c>
      <c r="C86" s="146"/>
      <c r="D86" s="67" t="s">
        <v>14</v>
      </c>
      <c r="E86" s="79">
        <v>45434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1" t="s">
        <v>13</v>
      </c>
      <c r="F87" s="252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91" si="13" xml:space="preserve"> IF(B88="","",setValueToTime(B88))</f>
        <v>0h10min</v>
      </c>
      <c r="D88" s="43" t="s">
        <v>99</v>
      </c>
      <c r="E88" s="253"/>
      <c r="F88" s="254"/>
      <c r="G88" s="3"/>
    </row>
    <row r="89" spans="1:7" s="44" customFormat="1" x14ac:dyDescent="0.3">
      <c r="A89" s="45" t="s">
        <v>77</v>
      </c>
      <c r="B89" s="46">
        <v>12</v>
      </c>
      <c r="C89" s="136" t="str">
        <f t="shared" si="13"/>
        <v>1h</v>
      </c>
      <c r="D89" s="47" t="s">
        <v>152</v>
      </c>
      <c r="E89" s="255"/>
      <c r="F89" s="256"/>
      <c r="G89" s="3"/>
    </row>
    <row r="90" spans="1:7" s="44" customFormat="1" x14ac:dyDescent="0.3">
      <c r="A90" s="45" t="s">
        <v>15</v>
      </c>
      <c r="B90" s="46">
        <v>22</v>
      </c>
      <c r="C90" s="137" t="str">
        <f t="shared" si="13"/>
        <v>1h50min</v>
      </c>
      <c r="D90" s="47" t="s">
        <v>125</v>
      </c>
      <c r="E90" s="255"/>
      <c r="F90" s="256"/>
      <c r="G90" s="3"/>
    </row>
    <row r="91" spans="1:7" s="44" customFormat="1" x14ac:dyDescent="0.3">
      <c r="A91" s="46"/>
      <c r="B91" s="46"/>
      <c r="C91" s="137" t="str">
        <f t="shared" si="13"/>
        <v/>
      </c>
      <c r="D91" s="47"/>
      <c r="E91" s="255"/>
      <c r="F91" s="256"/>
      <c r="G91" s="3"/>
    </row>
    <row r="92" spans="1:7" s="44" customFormat="1" x14ac:dyDescent="0.3">
      <c r="A92" s="46"/>
      <c r="B92" s="46"/>
      <c r="C92" s="137" t="str">
        <f t="shared" ref="C92:C95" si="14" xml:space="preserve"> IF(B92="","",setValueToTime(B92))</f>
        <v/>
      </c>
      <c r="D92" s="47"/>
      <c r="E92" s="255"/>
      <c r="F92" s="256"/>
      <c r="G92" s="3"/>
    </row>
    <row r="93" spans="1:7" s="44" customFormat="1" x14ac:dyDescent="0.3">
      <c r="A93" s="46"/>
      <c r="B93" s="46"/>
      <c r="C93" s="137" t="str">
        <f t="shared" si="14"/>
        <v/>
      </c>
      <c r="D93" s="47"/>
      <c r="E93" s="255"/>
      <c r="F93" s="256"/>
      <c r="G93" s="3"/>
    </row>
    <row r="94" spans="1:7" s="44" customFormat="1" x14ac:dyDescent="0.3">
      <c r="A94" s="46"/>
      <c r="B94" s="46"/>
      <c r="C94" s="137" t="str">
        <f t="shared" si="14"/>
        <v/>
      </c>
      <c r="D94" s="47"/>
      <c r="E94" s="255"/>
      <c r="F94" s="256"/>
      <c r="G94" s="3"/>
    </row>
    <row r="95" spans="1:7" s="44" customFormat="1" ht="15" thickBot="1" x14ac:dyDescent="0.35">
      <c r="A95" s="48"/>
      <c r="B95" s="48"/>
      <c r="C95" s="138" t="str">
        <f t="shared" si="14"/>
        <v/>
      </c>
      <c r="D95" s="49"/>
      <c r="E95" s="257"/>
      <c r="F95" s="258"/>
      <c r="G95" s="3"/>
    </row>
    <row r="96" spans="1:7" s="44" customFormat="1" ht="15" thickBot="1" x14ac:dyDescent="0.35">
      <c r="A96" s="95" t="s">
        <v>28</v>
      </c>
      <c r="B96" s="69">
        <f>SUM(B88:B95)</f>
        <v>36</v>
      </c>
      <c r="C96" s="95" t="str">
        <f xml:space="preserve"> setValueToTime(B96)</f>
        <v>3h</v>
      </c>
      <c r="D96" s="192" t="s">
        <v>112</v>
      </c>
      <c r="E96" s="249"/>
      <c r="F96" s="250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19</v>
      </c>
      <c r="C98" s="146"/>
      <c r="D98" s="67" t="s">
        <v>14</v>
      </c>
      <c r="E98" s="79">
        <v>45434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1" t="s">
        <v>13</v>
      </c>
      <c r="F99" s="252"/>
      <c r="G99" s="39"/>
    </row>
    <row r="100" spans="1:7" s="44" customFormat="1" ht="40.5" x14ac:dyDescent="0.3">
      <c r="A100" s="41" t="s">
        <v>88</v>
      </c>
      <c r="B100" s="42">
        <v>40</v>
      </c>
      <c r="C100" s="135" t="str">
        <f xml:space="preserve"> IF(B100="","",setValueToTime(B100))</f>
        <v>3h20min</v>
      </c>
      <c r="D100" s="43" t="s">
        <v>124</v>
      </c>
      <c r="E100" s="253"/>
      <c r="F100" s="254"/>
      <c r="G100" s="3"/>
    </row>
    <row r="101" spans="1:7" s="44" customFormat="1" x14ac:dyDescent="0.3">
      <c r="A101" s="45"/>
      <c r="B101" s="46"/>
      <c r="C101" s="136"/>
      <c r="D101" s="47"/>
      <c r="E101" s="255"/>
      <c r="F101" s="256"/>
      <c r="G101" s="3"/>
    </row>
    <row r="102" spans="1:7" s="44" customFormat="1" x14ac:dyDescent="0.3">
      <c r="A102" s="45"/>
      <c r="B102" s="46"/>
      <c r="C102" s="136" t="str">
        <f t="shared" ref="C102:C107" si="15" xml:space="preserve"> IF(B102="","",setValueToTime(B102))</f>
        <v/>
      </c>
      <c r="D102" s="47"/>
      <c r="E102" s="255"/>
      <c r="F102" s="256"/>
      <c r="G102" s="3"/>
    </row>
    <row r="103" spans="1:7" s="44" customFormat="1" x14ac:dyDescent="0.3">
      <c r="A103" s="45"/>
      <c r="B103" s="46"/>
      <c r="C103" s="136" t="str">
        <f t="shared" si="15"/>
        <v/>
      </c>
      <c r="D103" s="47"/>
      <c r="E103" s="255"/>
      <c r="F103" s="256"/>
      <c r="G103" s="3"/>
    </row>
    <row r="104" spans="1:7" s="44" customFormat="1" x14ac:dyDescent="0.3">
      <c r="A104" s="46"/>
      <c r="B104" s="46"/>
      <c r="C104" s="137" t="str">
        <f t="shared" si="15"/>
        <v/>
      </c>
      <c r="D104" s="47"/>
      <c r="E104" s="255"/>
      <c r="F104" s="256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55"/>
      <c r="F105" s="256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55"/>
      <c r="F106" s="256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7"/>
      <c r="F107" s="258"/>
      <c r="G107" s="3"/>
    </row>
    <row r="108" spans="1:7" s="44" customFormat="1" ht="15" thickBot="1" x14ac:dyDescent="0.35">
      <c r="A108" s="95" t="s">
        <v>28</v>
      </c>
      <c r="B108" s="69">
        <f>SUM(B100:B107)</f>
        <v>40</v>
      </c>
      <c r="C108" s="95" t="str">
        <f xml:space="preserve"> setValueToTime(B108)</f>
        <v>3h20min</v>
      </c>
      <c r="D108" s="192" t="s">
        <v>176</v>
      </c>
      <c r="E108" s="249"/>
      <c r="F108" s="250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18</v>
      </c>
      <c r="C110" s="146"/>
      <c r="D110" s="67" t="s">
        <v>14</v>
      </c>
      <c r="E110" s="79">
        <v>45429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1" t="s">
        <v>13</v>
      </c>
      <c r="F111" s="252"/>
      <c r="G111" s="39"/>
    </row>
    <row r="112" spans="1:7" s="44" customFormat="1" x14ac:dyDescent="0.3">
      <c r="A112" s="41" t="s">
        <v>16</v>
      </c>
      <c r="B112" s="42">
        <v>2</v>
      </c>
      <c r="C112" s="137" t="str">
        <f t="shared" ref="C112:C119" si="16" xml:space="preserve"> IF(B112="","",setValueToTime(B112))</f>
        <v>0h10min</v>
      </c>
      <c r="D112" s="43" t="s">
        <v>99</v>
      </c>
      <c r="E112" s="253"/>
      <c r="F112" s="254"/>
      <c r="G112" s="3"/>
    </row>
    <row r="113" spans="1:7" s="44" customFormat="1" ht="40.5" x14ac:dyDescent="0.3">
      <c r="A113" s="45" t="s">
        <v>88</v>
      </c>
      <c r="B113" s="46">
        <v>26</v>
      </c>
      <c r="C113" s="137" t="str">
        <f t="shared" si="16"/>
        <v>2h10min</v>
      </c>
      <c r="D113" s="47" t="s">
        <v>169</v>
      </c>
      <c r="E113" s="255"/>
      <c r="F113" s="256"/>
      <c r="G113" s="3"/>
    </row>
    <row r="114" spans="1:7" s="44" customFormat="1" ht="40.5" x14ac:dyDescent="0.3">
      <c r="A114" s="45" t="s">
        <v>88</v>
      </c>
      <c r="B114" s="46">
        <v>12</v>
      </c>
      <c r="C114" s="137" t="str">
        <f t="shared" si="16"/>
        <v>1h</v>
      </c>
      <c r="D114" s="47" t="s">
        <v>151</v>
      </c>
      <c r="E114" s="255"/>
      <c r="F114" s="256"/>
      <c r="G114" s="3"/>
    </row>
    <row r="115" spans="1:7" s="44" customFormat="1" x14ac:dyDescent="0.3">
      <c r="A115" s="45"/>
      <c r="B115" s="46"/>
      <c r="C115" s="137"/>
      <c r="D115" s="47"/>
      <c r="E115" s="255"/>
      <c r="F115" s="256"/>
      <c r="G115" s="3"/>
    </row>
    <row r="116" spans="1:7" s="44" customFormat="1" x14ac:dyDescent="0.3">
      <c r="A116" s="45"/>
      <c r="B116" s="46"/>
      <c r="C116" s="137"/>
      <c r="D116" s="47"/>
      <c r="E116" s="255"/>
      <c r="F116" s="256"/>
      <c r="G116" s="3"/>
    </row>
    <row r="117" spans="1:7" s="44" customFormat="1" x14ac:dyDescent="0.3">
      <c r="A117" s="45"/>
      <c r="B117" s="46"/>
      <c r="C117" s="137"/>
      <c r="D117" s="47"/>
      <c r="E117" s="255"/>
      <c r="F117" s="256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55"/>
      <c r="F118" s="256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7"/>
      <c r="F119" s="258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176</v>
      </c>
      <c r="E120" s="249"/>
      <c r="F120" s="250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17</v>
      </c>
      <c r="C122" s="146"/>
      <c r="D122" s="67" t="s">
        <v>14</v>
      </c>
      <c r="E122" s="79">
        <v>45429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1" t="s">
        <v>13</v>
      </c>
      <c r="F123" s="252"/>
      <c r="G123" s="39"/>
    </row>
    <row r="124" spans="1:7" s="44" customFormat="1" ht="27" x14ac:dyDescent="0.3">
      <c r="A124" s="41" t="s">
        <v>15</v>
      </c>
      <c r="B124" s="42">
        <v>18</v>
      </c>
      <c r="C124" s="137" t="str">
        <f t="shared" ref="C124:C126" si="17" xml:space="preserve"> IF(B124="","",setValueToTime(B124))</f>
        <v>1h30min</v>
      </c>
      <c r="D124" s="43" t="s">
        <v>123</v>
      </c>
      <c r="E124" s="253"/>
      <c r="F124" s="254"/>
      <c r="G124" s="3"/>
    </row>
    <row r="125" spans="1:7" s="44" customFormat="1" x14ac:dyDescent="0.3">
      <c r="A125" s="45" t="s">
        <v>89</v>
      </c>
      <c r="B125" s="46">
        <v>12</v>
      </c>
      <c r="C125" s="137" t="str">
        <f t="shared" si="17"/>
        <v>1h</v>
      </c>
      <c r="D125" s="47" t="s">
        <v>170</v>
      </c>
      <c r="E125" s="255"/>
      <c r="F125" s="256"/>
      <c r="G125" s="3"/>
    </row>
    <row r="126" spans="1:7" s="44" customFormat="1" x14ac:dyDescent="0.3">
      <c r="A126" s="45" t="s">
        <v>58</v>
      </c>
      <c r="B126" s="46">
        <v>18</v>
      </c>
      <c r="C126" s="137" t="str">
        <f t="shared" si="17"/>
        <v>1h30min</v>
      </c>
      <c r="D126" s="47" t="s">
        <v>121</v>
      </c>
      <c r="E126" s="255"/>
      <c r="F126" s="256"/>
      <c r="G126" s="3"/>
    </row>
    <row r="127" spans="1:7" s="44" customFormat="1" x14ac:dyDescent="0.3">
      <c r="A127" s="45"/>
      <c r="B127" s="46"/>
      <c r="C127" s="137"/>
      <c r="D127" s="47"/>
      <c r="E127" s="255"/>
      <c r="F127" s="256"/>
      <c r="G127" s="3"/>
    </row>
    <row r="128" spans="1:7" s="44" customFormat="1" x14ac:dyDescent="0.3">
      <c r="A128" s="45"/>
      <c r="B128" s="46"/>
      <c r="C128" s="137"/>
      <c r="D128" s="47"/>
      <c r="E128" s="255"/>
      <c r="F128" s="256"/>
      <c r="G128" s="3"/>
    </row>
    <row r="129" spans="1:7" s="44" customFormat="1" x14ac:dyDescent="0.3">
      <c r="A129" s="45"/>
      <c r="B129" s="46"/>
      <c r="C129" s="137"/>
      <c r="D129" s="47"/>
      <c r="E129" s="255"/>
      <c r="F129" s="256"/>
      <c r="G129" s="3"/>
    </row>
    <row r="130" spans="1:7" s="44" customFormat="1" x14ac:dyDescent="0.3">
      <c r="A130" s="46"/>
      <c r="B130" s="46"/>
      <c r="C130" s="137" t="str">
        <f t="shared" ref="C130:C131" si="18" xml:space="preserve"> IF(B130="","",setValueToTime(B130))</f>
        <v/>
      </c>
      <c r="D130" s="47"/>
      <c r="E130" s="255"/>
      <c r="F130" s="256"/>
      <c r="G130" s="3"/>
    </row>
    <row r="131" spans="1:7" s="44" customFormat="1" ht="15" thickBot="1" x14ac:dyDescent="0.35">
      <c r="A131" s="48"/>
      <c r="B131" s="48"/>
      <c r="C131" s="138" t="str">
        <f t="shared" si="18"/>
        <v/>
      </c>
      <c r="D131" s="49"/>
      <c r="E131" s="257"/>
      <c r="F131" s="258"/>
      <c r="G131" s="3"/>
    </row>
    <row r="132" spans="1:7" s="44" customFormat="1" ht="15" thickBot="1" x14ac:dyDescent="0.35">
      <c r="A132" s="95" t="s">
        <v>28</v>
      </c>
      <c r="B132" s="69">
        <f>SUM(B124:B131)</f>
        <v>48</v>
      </c>
      <c r="C132" s="95" t="str">
        <f xml:space="preserve"> setValueToTime(B132)</f>
        <v>4h</v>
      </c>
      <c r="D132" s="192" t="s">
        <v>185</v>
      </c>
      <c r="E132" s="249"/>
      <c r="F132" s="250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16</v>
      </c>
      <c r="C134" s="146"/>
      <c r="D134" s="67" t="s">
        <v>14</v>
      </c>
      <c r="E134" s="79">
        <v>45428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1" t="s">
        <v>13</v>
      </c>
      <c r="F135" s="252"/>
      <c r="G135" s="39"/>
    </row>
    <row r="136" spans="1:7" s="44" customFormat="1" x14ac:dyDescent="0.3">
      <c r="A136" s="41" t="s">
        <v>16</v>
      </c>
      <c r="B136" s="42">
        <v>2</v>
      </c>
      <c r="C136" s="137" t="str">
        <f t="shared" ref="C136:C143" si="19" xml:space="preserve"> IF(B136="","",setValueToTime(B136))</f>
        <v>0h10min</v>
      </c>
      <c r="D136" s="43" t="s">
        <v>99</v>
      </c>
      <c r="E136" s="253"/>
      <c r="F136" s="254"/>
      <c r="G136" s="3"/>
    </row>
    <row r="137" spans="1:7" s="44" customFormat="1" x14ac:dyDescent="0.3">
      <c r="A137" s="45" t="s">
        <v>15</v>
      </c>
      <c r="B137" s="46">
        <v>12</v>
      </c>
      <c r="C137" s="137" t="str">
        <f t="shared" si="19"/>
        <v>1h</v>
      </c>
      <c r="D137" s="47" t="s">
        <v>122</v>
      </c>
      <c r="E137" s="255"/>
      <c r="F137" s="256"/>
      <c r="G137" s="3"/>
    </row>
    <row r="138" spans="1:7" s="44" customFormat="1" x14ac:dyDescent="0.3">
      <c r="A138" s="46" t="s">
        <v>58</v>
      </c>
      <c r="B138" s="46">
        <v>12</v>
      </c>
      <c r="C138" s="137" t="str">
        <f t="shared" si="19"/>
        <v>1h</v>
      </c>
      <c r="D138" s="47" t="s">
        <v>146</v>
      </c>
      <c r="E138" s="255"/>
      <c r="F138" s="256"/>
      <c r="G138" s="3"/>
    </row>
    <row r="139" spans="1:7" s="44" customFormat="1" ht="40.5" x14ac:dyDescent="0.3">
      <c r="A139" s="45" t="s">
        <v>88</v>
      </c>
      <c r="B139" s="46">
        <v>12</v>
      </c>
      <c r="C139" s="137" t="str">
        <f t="shared" si="19"/>
        <v>1h</v>
      </c>
      <c r="D139" s="47" t="s">
        <v>119</v>
      </c>
      <c r="E139" s="255"/>
      <c r="F139" s="256"/>
      <c r="G139" s="3"/>
    </row>
    <row r="140" spans="1:7" s="44" customFormat="1" x14ac:dyDescent="0.3">
      <c r="A140" s="46"/>
      <c r="B140" s="46"/>
      <c r="C140" s="137"/>
      <c r="D140" s="47"/>
      <c r="E140" s="255"/>
      <c r="F140" s="256"/>
      <c r="G140" s="3"/>
    </row>
    <row r="141" spans="1:7" s="44" customFormat="1" x14ac:dyDescent="0.3">
      <c r="A141" s="45"/>
      <c r="B141" s="46"/>
      <c r="C141" s="137"/>
      <c r="D141" s="47"/>
      <c r="E141" s="255"/>
      <c r="F141" s="256"/>
      <c r="G141" s="3"/>
    </row>
    <row r="142" spans="1:7" s="44" customFormat="1" x14ac:dyDescent="0.3">
      <c r="A142" s="46"/>
      <c r="B142" s="46"/>
      <c r="C142" s="137" t="str">
        <f t="shared" si="19"/>
        <v/>
      </c>
      <c r="D142" s="47"/>
      <c r="E142" s="255"/>
      <c r="F142" s="256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7"/>
      <c r="F143" s="258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92" t="s">
        <v>177</v>
      </c>
      <c r="E144" s="249"/>
      <c r="F144" s="250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15</v>
      </c>
      <c r="C146" s="146"/>
      <c r="D146" s="67" t="s">
        <v>14</v>
      </c>
      <c r="E146" s="79">
        <v>45427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1" t="s">
        <v>13</v>
      </c>
      <c r="F147" s="252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3"/>
      <c r="F148" s="254"/>
      <c r="G148" s="3"/>
    </row>
    <row r="149" spans="1:7" s="44" customFormat="1" x14ac:dyDescent="0.3">
      <c r="A149" s="45" t="s">
        <v>15</v>
      </c>
      <c r="B149" s="46">
        <v>4</v>
      </c>
      <c r="C149" s="137" t="str">
        <f t="shared" si="20"/>
        <v>0h20min</v>
      </c>
      <c r="D149" s="47" t="s">
        <v>97</v>
      </c>
      <c r="E149" s="255"/>
      <c r="F149" s="256"/>
      <c r="G149" s="3"/>
    </row>
    <row r="150" spans="1:7" s="44" customFormat="1" x14ac:dyDescent="0.3">
      <c r="A150" s="45" t="s">
        <v>58</v>
      </c>
      <c r="B150" s="46">
        <v>30</v>
      </c>
      <c r="C150" s="137" t="str">
        <f t="shared" si="20"/>
        <v>2h30min</v>
      </c>
      <c r="D150" s="47" t="s">
        <v>120</v>
      </c>
      <c r="E150" s="255"/>
      <c r="F150" s="256"/>
      <c r="G150" s="3"/>
    </row>
    <row r="151" spans="1:7" s="44" customFormat="1" x14ac:dyDescent="0.3">
      <c r="A151" s="45"/>
      <c r="B151" s="46"/>
      <c r="C151" s="137" t="str">
        <f t="shared" si="20"/>
        <v/>
      </c>
      <c r="D151" s="47"/>
      <c r="E151" s="255"/>
      <c r="F151" s="256"/>
      <c r="G151" s="3"/>
    </row>
    <row r="152" spans="1:7" s="44" customFormat="1" x14ac:dyDescent="0.3">
      <c r="A152" s="45"/>
      <c r="B152" s="46"/>
      <c r="C152" s="137"/>
      <c r="D152" s="47"/>
      <c r="E152" s="255"/>
      <c r="F152" s="256"/>
      <c r="G152" s="3"/>
    </row>
    <row r="153" spans="1:7" s="44" customFormat="1" x14ac:dyDescent="0.3">
      <c r="A153" s="45"/>
      <c r="B153" s="46"/>
      <c r="C153" s="137"/>
      <c r="D153" s="47"/>
      <c r="E153" s="255"/>
      <c r="F153" s="256"/>
      <c r="G153" s="3"/>
    </row>
    <row r="154" spans="1:7" s="44" customFormat="1" x14ac:dyDescent="0.3">
      <c r="A154" s="45"/>
      <c r="B154" s="46"/>
      <c r="C154" s="137"/>
      <c r="D154" s="47"/>
      <c r="E154" s="255"/>
      <c r="F154" s="256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7"/>
      <c r="F155" s="258"/>
      <c r="G155" s="3"/>
    </row>
    <row r="156" spans="1:7" s="44" customFormat="1" ht="15" thickBot="1" x14ac:dyDescent="0.35">
      <c r="A156" s="95" t="s">
        <v>28</v>
      </c>
      <c r="B156" s="69">
        <f>SUM(B148:B155)</f>
        <v>36</v>
      </c>
      <c r="C156" s="95" t="str">
        <f xml:space="preserve"> setValueToTime(B156)</f>
        <v>3h</v>
      </c>
      <c r="D156" s="192" t="s">
        <v>112</v>
      </c>
      <c r="E156" s="249"/>
      <c r="F156" s="250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14</v>
      </c>
      <c r="C158" s="146"/>
      <c r="D158" s="67" t="s">
        <v>14</v>
      </c>
      <c r="E158" s="79">
        <v>45427</v>
      </c>
      <c r="F158" s="110" t="s">
        <v>47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1" t="s">
        <v>13</v>
      </c>
      <c r="F159" s="252"/>
      <c r="G159" s="39"/>
    </row>
    <row r="160" spans="1:7" s="44" customFormat="1" ht="27" x14ac:dyDescent="0.3">
      <c r="A160" s="45" t="s">
        <v>87</v>
      </c>
      <c r="B160" s="46">
        <v>20</v>
      </c>
      <c r="C160" s="137" t="str">
        <f xml:space="preserve"> IF(B160="","",setValueToTime(B160))</f>
        <v>1h40min</v>
      </c>
      <c r="D160" s="47" t="s">
        <v>118</v>
      </c>
      <c r="E160" s="253"/>
      <c r="F160" s="254"/>
      <c r="G160" s="3"/>
    </row>
    <row r="161" spans="1:7" s="44" customFormat="1" ht="40.5" x14ac:dyDescent="0.3">
      <c r="A161" s="45" t="s">
        <v>88</v>
      </c>
      <c r="B161" s="46">
        <v>18</v>
      </c>
      <c r="C161" s="137" t="str">
        <f xml:space="preserve"> IF(B161="","",setValueToTime(B161))</f>
        <v>1h30min</v>
      </c>
      <c r="D161" s="47" t="s">
        <v>119</v>
      </c>
      <c r="E161" s="255"/>
      <c r="F161" s="256"/>
      <c r="G161" s="3"/>
    </row>
    <row r="162" spans="1:7" s="44" customFormat="1" x14ac:dyDescent="0.3">
      <c r="A162" s="45"/>
      <c r="B162" s="46"/>
      <c r="C162" s="137"/>
      <c r="D162" s="47"/>
      <c r="E162" s="255"/>
      <c r="F162" s="256"/>
      <c r="G162" s="3"/>
    </row>
    <row r="163" spans="1:7" s="44" customFormat="1" x14ac:dyDescent="0.3">
      <c r="A163" s="45"/>
      <c r="B163" s="46"/>
      <c r="C163" s="137"/>
      <c r="D163" s="47"/>
      <c r="E163" s="255"/>
      <c r="F163" s="256"/>
      <c r="G163" s="3"/>
    </row>
    <row r="164" spans="1:7" s="44" customFormat="1" x14ac:dyDescent="0.3">
      <c r="A164" s="45"/>
      <c r="B164" s="46"/>
      <c r="C164" s="137"/>
      <c r="D164" s="47"/>
      <c r="E164" s="255"/>
      <c r="F164" s="256"/>
      <c r="G164" s="3"/>
    </row>
    <row r="165" spans="1:7" s="44" customFormat="1" x14ac:dyDescent="0.3">
      <c r="A165" s="46"/>
      <c r="B165" s="46"/>
      <c r="C165" s="137" t="str">
        <f t="shared" ref="C165:C166" si="21" xml:space="preserve"> IF(B165="","",setValueToTime(B165))</f>
        <v/>
      </c>
      <c r="D165" s="47"/>
      <c r="E165" s="255"/>
      <c r="F165" s="256"/>
      <c r="G165" s="3"/>
    </row>
    <row r="166" spans="1:7" s="44" customFormat="1" x14ac:dyDescent="0.3">
      <c r="A166" s="46"/>
      <c r="B166" s="46"/>
      <c r="C166" s="137" t="str">
        <f t="shared" si="21"/>
        <v/>
      </c>
      <c r="D166" s="47"/>
      <c r="E166" s="255"/>
      <c r="F166" s="256"/>
      <c r="G166" s="3"/>
    </row>
    <row r="167" spans="1:7" s="44" customFormat="1" ht="15" thickBot="1" x14ac:dyDescent="0.35">
      <c r="A167" s="48"/>
      <c r="B167" s="48"/>
      <c r="C167" s="138" t="str">
        <f t="shared" ref="C167" si="22" xml:space="preserve"> IF(B167="","",setValueToTime(B167))</f>
        <v/>
      </c>
      <c r="D167" s="49"/>
      <c r="E167" s="257"/>
      <c r="F167" s="258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 t="s">
        <v>177</v>
      </c>
      <c r="E168" s="249"/>
      <c r="F168" s="250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13</v>
      </c>
      <c r="C170" s="146"/>
      <c r="D170" s="67" t="s">
        <v>14</v>
      </c>
      <c r="E170" s="79">
        <v>45425</v>
      </c>
      <c r="F170" s="110" t="s">
        <v>46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1" t="s">
        <v>13</v>
      </c>
      <c r="F171" s="252"/>
      <c r="G171" s="39"/>
    </row>
    <row r="172" spans="1:7" s="44" customFormat="1" x14ac:dyDescent="0.3">
      <c r="A172" s="41" t="s">
        <v>16</v>
      </c>
      <c r="B172" s="42">
        <v>2</v>
      </c>
      <c r="C172" s="137" t="str">
        <f t="shared" ref="C172:C179" si="23" xml:space="preserve"> IF(B172="","",setValueToTime(B172))</f>
        <v>0h10min</v>
      </c>
      <c r="D172" s="43" t="s">
        <v>99</v>
      </c>
      <c r="E172" s="253"/>
      <c r="F172" s="254"/>
      <c r="G172" s="3"/>
    </row>
    <row r="173" spans="1:7" s="44" customFormat="1" x14ac:dyDescent="0.3">
      <c r="A173" s="45" t="s">
        <v>15</v>
      </c>
      <c r="B173" s="46">
        <v>8</v>
      </c>
      <c r="C173" s="137" t="str">
        <f t="shared" si="23"/>
        <v>0h40min</v>
      </c>
      <c r="D173" s="47" t="s">
        <v>145</v>
      </c>
      <c r="E173" s="255"/>
      <c r="F173" s="256"/>
      <c r="G173" s="3"/>
    </row>
    <row r="174" spans="1:7" s="44" customFormat="1" ht="27" x14ac:dyDescent="0.3">
      <c r="A174" s="45" t="s">
        <v>86</v>
      </c>
      <c r="B174" s="46">
        <v>16</v>
      </c>
      <c r="C174" s="137" t="str">
        <f t="shared" ref="C174" si="24" xml:space="preserve"> IF(B174="","",setValueToTime(B174))</f>
        <v>1h20min</v>
      </c>
      <c r="D174" s="47" t="s">
        <v>117</v>
      </c>
      <c r="E174" s="255"/>
      <c r="F174" s="256"/>
      <c r="G174" s="3"/>
    </row>
    <row r="175" spans="1:7" s="44" customFormat="1" x14ac:dyDescent="0.3">
      <c r="A175" s="45" t="s">
        <v>89</v>
      </c>
      <c r="B175" s="46">
        <v>4</v>
      </c>
      <c r="C175" s="137" t="str">
        <f t="shared" si="23"/>
        <v>0h20min</v>
      </c>
      <c r="D175" s="47" t="s">
        <v>171</v>
      </c>
      <c r="E175" s="255"/>
      <c r="F175" s="256"/>
      <c r="G175" s="3"/>
    </row>
    <row r="176" spans="1:7" s="44" customFormat="1" x14ac:dyDescent="0.3">
      <c r="A176" s="45"/>
      <c r="B176" s="46"/>
      <c r="C176" s="137"/>
      <c r="D176" s="47"/>
      <c r="E176" s="255"/>
      <c r="F176" s="256"/>
      <c r="G176" s="3"/>
    </row>
    <row r="177" spans="1:7" s="44" customFormat="1" x14ac:dyDescent="0.3">
      <c r="A177" s="45"/>
      <c r="B177" s="46"/>
      <c r="C177" s="137"/>
      <c r="D177" s="47"/>
      <c r="E177" s="255"/>
      <c r="F177" s="256"/>
      <c r="G177" s="3"/>
    </row>
    <row r="178" spans="1:7" s="44" customFormat="1" x14ac:dyDescent="0.3">
      <c r="A178" s="45"/>
      <c r="B178" s="46"/>
      <c r="C178" s="137"/>
      <c r="D178" s="47"/>
      <c r="E178" s="255"/>
      <c r="F178" s="256"/>
      <c r="G178" s="3"/>
    </row>
    <row r="179" spans="1:7" s="44" customFormat="1" ht="15" thickBot="1" x14ac:dyDescent="0.35">
      <c r="A179" s="48"/>
      <c r="B179" s="48"/>
      <c r="C179" s="138" t="str">
        <f t="shared" si="23"/>
        <v/>
      </c>
      <c r="D179" s="49"/>
      <c r="E179" s="257"/>
      <c r="F179" s="258"/>
      <c r="G179" s="3"/>
    </row>
    <row r="180" spans="1:7" s="44" customFormat="1" ht="15" thickBot="1" x14ac:dyDescent="0.35">
      <c r="A180" s="95" t="s">
        <v>28</v>
      </c>
      <c r="B180" s="69">
        <f>SUM(B172:B179)</f>
        <v>30</v>
      </c>
      <c r="C180" s="95" t="str">
        <f xml:space="preserve"> setValueToTime(B180)</f>
        <v>2h30min</v>
      </c>
      <c r="D180" s="192" t="s">
        <v>175</v>
      </c>
      <c r="E180" s="249"/>
      <c r="F180" s="250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12</v>
      </c>
      <c r="C182" s="146"/>
      <c r="D182" s="67" t="s">
        <v>14</v>
      </c>
      <c r="E182" s="79">
        <v>45425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1" t="s">
        <v>13</v>
      </c>
      <c r="F183" s="252"/>
      <c r="G183" s="39"/>
    </row>
    <row r="184" spans="1:7" s="44" customFormat="1" ht="27" x14ac:dyDescent="0.3">
      <c r="A184" s="45" t="s">
        <v>86</v>
      </c>
      <c r="B184" s="46">
        <v>30</v>
      </c>
      <c r="C184" s="137" t="str">
        <f t="shared" ref="C184" si="25" xml:space="preserve"> IF(B184="","",setValueToTime(B184))</f>
        <v>2h30min</v>
      </c>
      <c r="D184" s="195" t="s">
        <v>115</v>
      </c>
      <c r="E184" s="253"/>
      <c r="F184" s="254"/>
      <c r="G184" s="3"/>
    </row>
    <row r="185" spans="1:7" s="44" customFormat="1" ht="27" x14ac:dyDescent="0.3">
      <c r="A185" s="45" t="s">
        <v>86</v>
      </c>
      <c r="B185" s="46">
        <v>20</v>
      </c>
      <c r="C185" s="137" t="str">
        <f t="shared" ref="C185" si="26" xml:space="preserve"> IF(B185="","",setValueToTime(B185))</f>
        <v>1h40min</v>
      </c>
      <c r="D185" s="195" t="s">
        <v>116</v>
      </c>
      <c r="E185" s="255"/>
      <c r="F185" s="256"/>
      <c r="G185" s="3"/>
    </row>
    <row r="186" spans="1:7" s="44" customFormat="1" x14ac:dyDescent="0.3">
      <c r="A186" s="45"/>
      <c r="B186" s="46"/>
      <c r="C186" s="137" t="str">
        <f t="shared" ref="C186" si="27" xml:space="preserve"> IF(B186="","",setValueToTime(B186))</f>
        <v/>
      </c>
      <c r="D186" s="47"/>
      <c r="E186" s="255"/>
      <c r="F186" s="256"/>
      <c r="G186" s="3"/>
    </row>
    <row r="187" spans="1:7" s="44" customFormat="1" x14ac:dyDescent="0.3">
      <c r="A187" s="45"/>
      <c r="B187" s="46"/>
      <c r="C187" s="137"/>
      <c r="D187" s="47"/>
      <c r="E187" s="255"/>
      <c r="F187" s="256"/>
      <c r="G187" s="3"/>
    </row>
    <row r="188" spans="1:7" s="44" customFormat="1" x14ac:dyDescent="0.3">
      <c r="A188" s="45"/>
      <c r="B188" s="46"/>
      <c r="C188" s="137"/>
      <c r="D188" s="47"/>
      <c r="E188" s="255"/>
      <c r="F188" s="256"/>
      <c r="G188" s="3"/>
    </row>
    <row r="189" spans="1:7" s="44" customFormat="1" x14ac:dyDescent="0.3">
      <c r="A189" s="45"/>
      <c r="B189" s="46"/>
      <c r="C189" s="137"/>
      <c r="D189" s="47"/>
      <c r="E189" s="255"/>
      <c r="F189" s="256"/>
      <c r="G189" s="3"/>
    </row>
    <row r="190" spans="1:7" s="44" customFormat="1" x14ac:dyDescent="0.3">
      <c r="A190" s="46"/>
      <c r="B190" s="46"/>
      <c r="C190" s="137" t="str">
        <f t="shared" ref="C190:C191" si="28" xml:space="preserve"> IF(B190="","",setValueToTime(B190))</f>
        <v/>
      </c>
      <c r="D190" s="47"/>
      <c r="E190" s="255"/>
      <c r="F190" s="256"/>
      <c r="G190" s="3"/>
    </row>
    <row r="191" spans="1:7" s="44" customFormat="1" ht="15" thickBot="1" x14ac:dyDescent="0.35">
      <c r="A191" s="48"/>
      <c r="B191" s="48"/>
      <c r="C191" s="138" t="str">
        <f t="shared" si="28"/>
        <v/>
      </c>
      <c r="D191" s="49"/>
      <c r="E191" s="257"/>
      <c r="F191" s="258"/>
      <c r="G191" s="3"/>
    </row>
    <row r="192" spans="1:7" s="44" customFormat="1" ht="15" thickBot="1" x14ac:dyDescent="0.35">
      <c r="A192" s="95" t="s">
        <v>28</v>
      </c>
      <c r="B192" s="69">
        <f>SUM(B184:B191)</f>
        <v>50</v>
      </c>
      <c r="C192" s="95" t="str">
        <f xml:space="preserve"> setValueToTime(B192)</f>
        <v>4h10min</v>
      </c>
      <c r="D192" s="192" t="s">
        <v>174</v>
      </c>
      <c r="E192" s="249"/>
      <c r="F192" s="250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11</v>
      </c>
      <c r="C194" s="146"/>
      <c r="D194" s="67" t="s">
        <v>14</v>
      </c>
      <c r="E194" s="79">
        <v>45420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1" t="s">
        <v>13</v>
      </c>
      <c r="F195" s="252"/>
      <c r="G195" s="39"/>
    </row>
    <row r="196" spans="1:7" s="44" customFormat="1" x14ac:dyDescent="0.3">
      <c r="A196" s="41" t="s">
        <v>16</v>
      </c>
      <c r="B196" s="42">
        <v>2</v>
      </c>
      <c r="C196" s="137" t="str">
        <f t="shared" ref="C196:C201" si="29" xml:space="preserve"> IF(B196="","",setValueToTime(B196))</f>
        <v>0h10min</v>
      </c>
      <c r="D196" s="43" t="s">
        <v>99</v>
      </c>
      <c r="E196" s="253"/>
      <c r="F196" s="254"/>
      <c r="G196" s="3"/>
    </row>
    <row r="197" spans="1:7" s="44" customFormat="1" x14ac:dyDescent="0.3">
      <c r="A197" s="45" t="s">
        <v>15</v>
      </c>
      <c r="B197" s="46">
        <v>4</v>
      </c>
      <c r="C197" s="137" t="str">
        <f t="shared" si="29"/>
        <v>0h20min</v>
      </c>
      <c r="D197" s="47" t="s">
        <v>97</v>
      </c>
      <c r="E197" s="255"/>
      <c r="F197" s="256"/>
      <c r="G197" s="3"/>
    </row>
    <row r="198" spans="1:7" s="44" customFormat="1" x14ac:dyDescent="0.3">
      <c r="A198" s="46" t="s">
        <v>85</v>
      </c>
      <c r="B198" s="46">
        <v>34</v>
      </c>
      <c r="C198" s="137" t="str">
        <f t="shared" si="29"/>
        <v>2h50min</v>
      </c>
      <c r="D198" s="47" t="s">
        <v>113</v>
      </c>
      <c r="E198" s="255"/>
      <c r="F198" s="256"/>
      <c r="G198" s="3"/>
    </row>
    <row r="199" spans="1:7" s="44" customFormat="1" x14ac:dyDescent="0.3">
      <c r="A199" s="46" t="s">
        <v>85</v>
      </c>
      <c r="B199" s="46"/>
      <c r="C199" s="137" t="str">
        <f t="shared" si="29"/>
        <v/>
      </c>
      <c r="D199" s="47" t="s">
        <v>114</v>
      </c>
      <c r="E199" s="255"/>
      <c r="F199" s="256"/>
      <c r="G199" s="3"/>
    </row>
    <row r="200" spans="1:7" s="44" customFormat="1" x14ac:dyDescent="0.3">
      <c r="A200" s="46"/>
      <c r="B200" s="46"/>
      <c r="C200" s="137" t="str">
        <f t="shared" si="29"/>
        <v/>
      </c>
      <c r="D200" s="47"/>
      <c r="E200" s="255"/>
      <c r="F200" s="256"/>
      <c r="G200" s="3"/>
    </row>
    <row r="201" spans="1:7" s="44" customFormat="1" x14ac:dyDescent="0.3">
      <c r="A201" s="46"/>
      <c r="B201" s="46"/>
      <c r="C201" s="137" t="str">
        <f t="shared" si="29"/>
        <v/>
      </c>
      <c r="D201" s="47"/>
      <c r="E201" s="255"/>
      <c r="F201" s="256"/>
      <c r="G201" s="3"/>
    </row>
    <row r="202" spans="1:7" s="44" customFormat="1" x14ac:dyDescent="0.3">
      <c r="A202" s="46"/>
      <c r="B202" s="46"/>
      <c r="C202" s="137" t="str">
        <f t="shared" ref="C202:C203" si="30" xml:space="preserve"> IF(B202="","",setValueToTime(B202))</f>
        <v/>
      </c>
      <c r="D202" s="47"/>
      <c r="E202" s="255"/>
      <c r="F202" s="256"/>
      <c r="G202" s="3"/>
    </row>
    <row r="203" spans="1:7" s="44" customFormat="1" ht="15" thickBot="1" x14ac:dyDescent="0.35">
      <c r="A203" s="48"/>
      <c r="B203" s="48"/>
      <c r="C203" s="138" t="str">
        <f t="shared" si="30"/>
        <v/>
      </c>
      <c r="D203" s="49"/>
      <c r="E203" s="257"/>
      <c r="F203" s="258"/>
      <c r="G203" s="3"/>
    </row>
    <row r="204" spans="1:7" s="44" customFormat="1" ht="15" thickBot="1" x14ac:dyDescent="0.35">
      <c r="A204" s="95" t="s">
        <v>28</v>
      </c>
      <c r="B204" s="69">
        <f>SUM(B196:B203)</f>
        <v>40</v>
      </c>
      <c r="C204" s="95" t="str">
        <f xml:space="preserve"> setValueToTime(B204)</f>
        <v>3h20min</v>
      </c>
      <c r="D204" s="104" t="s">
        <v>176</v>
      </c>
      <c r="E204" s="249"/>
      <c r="F204" s="250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10</v>
      </c>
      <c r="C206" s="146"/>
      <c r="D206" s="67" t="s">
        <v>14</v>
      </c>
      <c r="E206" s="79">
        <v>45420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1" t="s">
        <v>13</v>
      </c>
      <c r="F207" s="252"/>
      <c r="G207" s="39"/>
    </row>
    <row r="208" spans="1:7" s="44" customFormat="1" ht="40.5" x14ac:dyDescent="0.3">
      <c r="A208" s="45" t="s">
        <v>88</v>
      </c>
      <c r="B208" s="46">
        <v>14</v>
      </c>
      <c r="C208" s="137" t="str">
        <f t="shared" ref="C208:C209" si="31" xml:space="preserve"> IF(B208="","",setValueToTime(B208))</f>
        <v>1h10min</v>
      </c>
      <c r="D208" s="47" t="s">
        <v>109</v>
      </c>
      <c r="E208" s="253"/>
      <c r="F208" s="254"/>
      <c r="G208" s="3"/>
    </row>
    <row r="209" spans="1:7" s="44" customFormat="1" x14ac:dyDescent="0.3">
      <c r="A209" s="45" t="s">
        <v>85</v>
      </c>
      <c r="B209" s="46">
        <v>26</v>
      </c>
      <c r="C209" s="137" t="str">
        <f t="shared" si="31"/>
        <v>2h10min</v>
      </c>
      <c r="D209" s="47" t="s">
        <v>111</v>
      </c>
      <c r="E209" s="255"/>
      <c r="F209" s="256"/>
      <c r="G209" s="3"/>
    </row>
    <row r="210" spans="1:7" s="44" customFormat="1" x14ac:dyDescent="0.3">
      <c r="A210" s="45"/>
      <c r="B210" s="46"/>
      <c r="C210" s="137" t="str">
        <f t="shared" ref="C210" si="32" xml:space="preserve"> IF(B210="","",setValueToTime(B210))</f>
        <v/>
      </c>
      <c r="D210" s="47"/>
      <c r="E210" s="255"/>
      <c r="F210" s="256"/>
      <c r="G210" s="3"/>
    </row>
    <row r="211" spans="1:7" s="44" customFormat="1" x14ac:dyDescent="0.3">
      <c r="A211" s="45"/>
      <c r="B211" s="46"/>
      <c r="C211" s="137" t="str">
        <f t="shared" ref="C211:C215" si="33" xml:space="preserve"> IF(B211="","",setValueToTime(B211))</f>
        <v/>
      </c>
      <c r="D211" s="47"/>
      <c r="E211" s="255"/>
      <c r="F211" s="256"/>
      <c r="G211" s="3"/>
    </row>
    <row r="212" spans="1:7" s="44" customFormat="1" x14ac:dyDescent="0.3">
      <c r="A212" s="45"/>
      <c r="B212" s="46"/>
      <c r="C212" s="137" t="str">
        <f t="shared" si="33"/>
        <v/>
      </c>
      <c r="D212" s="47"/>
      <c r="E212" s="255"/>
      <c r="F212" s="256"/>
      <c r="G212" s="3"/>
    </row>
    <row r="213" spans="1:7" s="44" customFormat="1" x14ac:dyDescent="0.3">
      <c r="A213" s="46"/>
      <c r="B213" s="46"/>
      <c r="C213" s="137" t="str">
        <f t="shared" si="33"/>
        <v/>
      </c>
      <c r="D213" s="47"/>
      <c r="E213" s="255"/>
      <c r="F213" s="256"/>
      <c r="G213" s="3"/>
    </row>
    <row r="214" spans="1:7" s="44" customFormat="1" x14ac:dyDescent="0.3">
      <c r="A214" s="46"/>
      <c r="B214" s="46"/>
      <c r="C214" s="137" t="str">
        <f t="shared" si="33"/>
        <v/>
      </c>
      <c r="D214" s="47"/>
      <c r="E214" s="255"/>
      <c r="F214" s="256"/>
      <c r="G214" s="3"/>
    </row>
    <row r="215" spans="1:7" s="44" customFormat="1" ht="15" thickBot="1" x14ac:dyDescent="0.35">
      <c r="A215" s="48"/>
      <c r="B215" s="48"/>
      <c r="C215" s="137" t="str">
        <f t="shared" si="33"/>
        <v/>
      </c>
      <c r="D215" s="49"/>
      <c r="E215" s="257"/>
      <c r="F215" s="258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92" t="s">
        <v>176</v>
      </c>
      <c r="E216" s="249"/>
      <c r="F216" s="250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9</v>
      </c>
      <c r="C218" s="146"/>
      <c r="D218" s="67" t="s">
        <v>14</v>
      </c>
      <c r="E218" s="79">
        <v>45418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1" t="s">
        <v>13</v>
      </c>
      <c r="F219" s="252"/>
      <c r="G219" s="39"/>
    </row>
    <row r="220" spans="1:7" s="44" customFormat="1" x14ac:dyDescent="0.3">
      <c r="A220" s="41" t="s">
        <v>16</v>
      </c>
      <c r="B220" s="42">
        <v>2</v>
      </c>
      <c r="C220" s="137" t="str">
        <f t="shared" ref="C220:C225" si="34" xml:space="preserve"> IF(B220="","",setValueToTime(B220))</f>
        <v>0h10min</v>
      </c>
      <c r="D220" s="43" t="s">
        <v>99</v>
      </c>
      <c r="E220" s="253"/>
      <c r="F220" s="254"/>
      <c r="G220" s="3"/>
    </row>
    <row r="221" spans="1:7" s="44" customFormat="1" x14ac:dyDescent="0.3">
      <c r="A221" s="45" t="s">
        <v>15</v>
      </c>
      <c r="B221" s="46">
        <v>4</v>
      </c>
      <c r="C221" s="137" t="str">
        <f t="shared" si="34"/>
        <v>0h20min</v>
      </c>
      <c r="D221" s="47" t="s">
        <v>97</v>
      </c>
      <c r="E221" s="255"/>
      <c r="F221" s="256"/>
      <c r="G221" s="3"/>
    </row>
    <row r="222" spans="1:7" s="44" customFormat="1" x14ac:dyDescent="0.3">
      <c r="A222" s="45" t="s">
        <v>85</v>
      </c>
      <c r="B222" s="46">
        <v>20</v>
      </c>
      <c r="C222" s="137" t="str">
        <f t="shared" si="34"/>
        <v>1h40min</v>
      </c>
      <c r="D222" s="47" t="s">
        <v>110</v>
      </c>
      <c r="E222" s="255"/>
      <c r="F222" s="256"/>
      <c r="G222" s="3"/>
    </row>
    <row r="223" spans="1:7" s="44" customFormat="1" x14ac:dyDescent="0.3">
      <c r="A223" s="46" t="s">
        <v>89</v>
      </c>
      <c r="B223" s="46">
        <v>4</v>
      </c>
      <c r="C223" s="137" t="str">
        <f t="shared" si="34"/>
        <v>0h20min</v>
      </c>
      <c r="D223" s="47" t="s">
        <v>165</v>
      </c>
      <c r="E223" s="255"/>
      <c r="F223" s="256"/>
      <c r="G223" s="3"/>
    </row>
    <row r="224" spans="1:7" s="44" customFormat="1" x14ac:dyDescent="0.3">
      <c r="A224" s="46"/>
      <c r="B224" s="46"/>
      <c r="C224" s="137" t="str">
        <f t="shared" si="34"/>
        <v/>
      </c>
      <c r="D224" s="47"/>
      <c r="E224" s="255"/>
      <c r="F224" s="256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55"/>
      <c r="F225" s="256"/>
      <c r="G225" s="3"/>
    </row>
    <row r="226" spans="1:7" s="44" customFormat="1" x14ac:dyDescent="0.3">
      <c r="A226" s="46"/>
      <c r="B226" s="46"/>
      <c r="C226" s="137" t="str">
        <f t="shared" ref="C226:C227" si="35" xml:space="preserve"> IF(B226="","",setValueToTime(B226))</f>
        <v/>
      </c>
      <c r="D226" s="47"/>
      <c r="E226" s="255"/>
      <c r="F226" s="256"/>
      <c r="G226" s="3"/>
    </row>
    <row r="227" spans="1:7" s="44" customFormat="1" ht="15" thickBot="1" x14ac:dyDescent="0.35">
      <c r="A227" s="48"/>
      <c r="B227" s="48"/>
      <c r="C227" s="138" t="str">
        <f t="shared" si="35"/>
        <v/>
      </c>
      <c r="D227" s="49"/>
      <c r="E227" s="257"/>
      <c r="F227" s="258"/>
      <c r="G227" s="3"/>
    </row>
    <row r="228" spans="1:7" s="44" customFormat="1" ht="15" thickBot="1" x14ac:dyDescent="0.35">
      <c r="A228" s="95" t="s">
        <v>28</v>
      </c>
      <c r="B228" s="69">
        <f>SUM(B220:B227)</f>
        <v>30</v>
      </c>
      <c r="C228" s="95" t="str">
        <f xml:space="preserve"> setValueToTime(B228)</f>
        <v>2h30min</v>
      </c>
      <c r="D228" s="192" t="s">
        <v>175</v>
      </c>
      <c r="E228" s="249"/>
      <c r="F228" s="250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8</v>
      </c>
      <c r="C230" s="146"/>
      <c r="D230" s="67" t="s">
        <v>14</v>
      </c>
      <c r="E230" s="79">
        <v>45418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1" t="s">
        <v>13</v>
      </c>
      <c r="F231" s="252"/>
      <c r="G231" s="39"/>
    </row>
    <row r="232" spans="1:7" s="44" customFormat="1" ht="27" x14ac:dyDescent="0.3">
      <c r="A232" s="41" t="s">
        <v>85</v>
      </c>
      <c r="B232" s="42">
        <v>50</v>
      </c>
      <c r="C232" s="137" t="str">
        <f t="shared" ref="C232:C239" si="36" xml:space="preserve"> IF(B232="","",setValueToTime(B232))</f>
        <v>4h10min</v>
      </c>
      <c r="D232" s="47" t="s">
        <v>108</v>
      </c>
      <c r="E232" s="253"/>
      <c r="F232" s="254"/>
      <c r="G232" s="3"/>
    </row>
    <row r="233" spans="1:7" s="44" customFormat="1" x14ac:dyDescent="0.3">
      <c r="A233" s="45"/>
      <c r="B233" s="46"/>
      <c r="C233" s="137" t="str">
        <f t="shared" si="36"/>
        <v/>
      </c>
      <c r="D233" s="47"/>
      <c r="E233" s="255"/>
      <c r="F233" s="256"/>
      <c r="G233" s="3"/>
    </row>
    <row r="234" spans="1:7" s="44" customFormat="1" x14ac:dyDescent="0.3">
      <c r="A234" s="46"/>
      <c r="B234" s="46"/>
      <c r="C234" s="137" t="str">
        <f t="shared" si="36"/>
        <v/>
      </c>
      <c r="D234" s="47"/>
      <c r="E234" s="255"/>
      <c r="F234" s="256"/>
      <c r="G234" s="3"/>
    </row>
    <row r="235" spans="1:7" s="44" customFormat="1" x14ac:dyDescent="0.3">
      <c r="A235" s="45"/>
      <c r="B235" s="46"/>
      <c r="C235" s="137" t="str">
        <f t="shared" si="36"/>
        <v/>
      </c>
      <c r="D235" s="47"/>
      <c r="E235" s="255"/>
      <c r="F235" s="256"/>
      <c r="G235" s="3"/>
    </row>
    <row r="236" spans="1:7" s="44" customFormat="1" x14ac:dyDescent="0.3">
      <c r="A236" s="46"/>
      <c r="B236" s="46"/>
      <c r="C236" s="137" t="str">
        <f t="shared" si="36"/>
        <v/>
      </c>
      <c r="D236" s="47"/>
      <c r="E236" s="255"/>
      <c r="F236" s="256"/>
      <c r="G236" s="3"/>
    </row>
    <row r="237" spans="1:7" s="44" customFormat="1" x14ac:dyDescent="0.3">
      <c r="A237" s="46"/>
      <c r="B237" s="46"/>
      <c r="C237" s="137" t="str">
        <f t="shared" si="36"/>
        <v/>
      </c>
      <c r="D237" s="47"/>
      <c r="E237" s="255"/>
      <c r="F237" s="256"/>
      <c r="G237" s="3"/>
    </row>
    <row r="238" spans="1:7" s="44" customFormat="1" x14ac:dyDescent="0.3">
      <c r="A238" s="46"/>
      <c r="B238" s="46"/>
      <c r="C238" s="137" t="str">
        <f t="shared" si="36"/>
        <v/>
      </c>
      <c r="D238" s="47"/>
      <c r="E238" s="255"/>
      <c r="F238" s="256"/>
      <c r="G238" s="3"/>
    </row>
    <row r="239" spans="1:7" s="44" customFormat="1" ht="15" thickBot="1" x14ac:dyDescent="0.35">
      <c r="A239" s="48"/>
      <c r="B239" s="48"/>
      <c r="C239" s="137" t="str">
        <f t="shared" si="36"/>
        <v/>
      </c>
      <c r="D239" s="49"/>
      <c r="E239" s="257"/>
      <c r="F239" s="258"/>
      <c r="G239" s="3"/>
    </row>
    <row r="240" spans="1:7" s="44" customFormat="1" ht="15" thickBot="1" x14ac:dyDescent="0.35">
      <c r="A240" s="95" t="s">
        <v>28</v>
      </c>
      <c r="B240" s="69">
        <f>SUM(B232:B239)</f>
        <v>50</v>
      </c>
      <c r="C240" s="95" t="str">
        <f xml:space="preserve"> setValueToTime(B240)</f>
        <v>4h10min</v>
      </c>
      <c r="D240" s="104" t="s">
        <v>174</v>
      </c>
      <c r="E240" s="249"/>
      <c r="F240" s="250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7</v>
      </c>
      <c r="C242" s="146"/>
      <c r="D242" s="67" t="s">
        <v>14</v>
      </c>
      <c r="E242" s="79">
        <v>45415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1" t="s">
        <v>13</v>
      </c>
      <c r="F243" s="252"/>
      <c r="G243" s="39"/>
    </row>
    <row r="244" spans="1:7" s="44" customFormat="1" x14ac:dyDescent="0.3">
      <c r="A244" s="41" t="s">
        <v>16</v>
      </c>
      <c r="B244" s="42">
        <v>2</v>
      </c>
      <c r="C244" s="137" t="str">
        <f t="shared" ref="C244:C249" si="37" xml:space="preserve"> IF(B244="","",setValueToTime(B244))</f>
        <v>0h10min</v>
      </c>
      <c r="D244" s="43" t="s">
        <v>99</v>
      </c>
      <c r="E244" s="253"/>
      <c r="F244" s="254"/>
      <c r="G244" s="3"/>
    </row>
    <row r="245" spans="1:7" s="44" customFormat="1" x14ac:dyDescent="0.3">
      <c r="A245" s="45" t="s">
        <v>15</v>
      </c>
      <c r="B245" s="46">
        <v>10</v>
      </c>
      <c r="C245" s="137" t="str">
        <f t="shared" si="37"/>
        <v>0h50min</v>
      </c>
      <c r="D245" s="47" t="s">
        <v>107</v>
      </c>
      <c r="E245" s="255"/>
      <c r="F245" s="256"/>
      <c r="G245" s="3"/>
    </row>
    <row r="246" spans="1:7" s="44" customFormat="1" x14ac:dyDescent="0.3">
      <c r="A246" s="45" t="s">
        <v>85</v>
      </c>
      <c r="B246" s="46">
        <v>24</v>
      </c>
      <c r="C246" s="137" t="str">
        <f t="shared" si="37"/>
        <v>2h</v>
      </c>
      <c r="D246" s="47" t="s">
        <v>106</v>
      </c>
      <c r="E246" s="255"/>
      <c r="F246" s="256"/>
      <c r="G246" s="3"/>
    </row>
    <row r="247" spans="1:7" s="44" customFormat="1" x14ac:dyDescent="0.3">
      <c r="A247" s="46" t="s">
        <v>89</v>
      </c>
      <c r="B247" s="46">
        <v>4</v>
      </c>
      <c r="C247" s="137" t="str">
        <f t="shared" si="37"/>
        <v>0h20min</v>
      </c>
      <c r="D247" s="47" t="s">
        <v>165</v>
      </c>
      <c r="E247" s="255"/>
      <c r="F247" s="256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55"/>
      <c r="F248" s="256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55"/>
      <c r="F249" s="256"/>
      <c r="G249" s="3"/>
    </row>
    <row r="250" spans="1:7" s="44" customFormat="1" x14ac:dyDescent="0.3">
      <c r="A250" s="46"/>
      <c r="B250" s="46"/>
      <c r="C250" s="137" t="str">
        <f t="shared" ref="C250:C251" si="38" xml:space="preserve"> IF(B250="","",setValueToTime(B250))</f>
        <v/>
      </c>
      <c r="D250" s="47"/>
      <c r="E250" s="255"/>
      <c r="F250" s="256"/>
      <c r="G250" s="3"/>
    </row>
    <row r="251" spans="1:7" s="44" customFormat="1" ht="15" thickBot="1" x14ac:dyDescent="0.35">
      <c r="A251" s="48"/>
      <c r="B251" s="48"/>
      <c r="C251" s="138" t="str">
        <f t="shared" si="38"/>
        <v/>
      </c>
      <c r="D251" s="49"/>
      <c r="E251" s="257"/>
      <c r="F251" s="258"/>
      <c r="G251" s="3"/>
    </row>
    <row r="252" spans="1:7" s="44" customFormat="1" ht="15" thickBot="1" x14ac:dyDescent="0.35">
      <c r="A252" s="95" t="s">
        <v>28</v>
      </c>
      <c r="B252" s="69">
        <f>SUM(B244:B251)</f>
        <v>40</v>
      </c>
      <c r="C252" s="95" t="str">
        <f xml:space="preserve"> setValueToTime(B252)</f>
        <v>3h20min</v>
      </c>
      <c r="D252" s="104" t="s">
        <v>176</v>
      </c>
      <c r="E252" s="249"/>
      <c r="F252" s="250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6</v>
      </c>
      <c r="C254" s="146"/>
      <c r="D254" s="67" t="s">
        <v>14</v>
      </c>
      <c r="E254" s="79">
        <v>45415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1" t="s">
        <v>13</v>
      </c>
      <c r="F255" s="252"/>
      <c r="G255" s="39"/>
    </row>
    <row r="256" spans="1:7" s="44" customFormat="1" ht="27" x14ac:dyDescent="0.3">
      <c r="A256" s="41" t="s">
        <v>84</v>
      </c>
      <c r="B256" s="42">
        <v>12</v>
      </c>
      <c r="C256" s="137" t="str">
        <f t="shared" ref="C256:C263" si="39" xml:space="preserve"> IF(B256="","",setValueToTime(B256))</f>
        <v>1h</v>
      </c>
      <c r="D256" s="43" t="s">
        <v>104</v>
      </c>
      <c r="E256" s="253"/>
      <c r="F256" s="254"/>
      <c r="G256" s="3"/>
    </row>
    <row r="257" spans="1:7" s="44" customFormat="1" x14ac:dyDescent="0.3">
      <c r="A257" s="45" t="s">
        <v>85</v>
      </c>
      <c r="B257" s="46">
        <v>38</v>
      </c>
      <c r="C257" s="137" t="str">
        <f t="shared" si="39"/>
        <v>3h10min</v>
      </c>
      <c r="D257" s="47" t="s">
        <v>105</v>
      </c>
      <c r="E257" s="255"/>
      <c r="F257" s="256"/>
      <c r="G257" s="3"/>
    </row>
    <row r="258" spans="1:7" s="44" customFormat="1" x14ac:dyDescent="0.3">
      <c r="A258" s="45"/>
      <c r="B258" s="46"/>
      <c r="C258" s="137" t="str">
        <f t="shared" si="39"/>
        <v/>
      </c>
      <c r="D258" s="47"/>
      <c r="E258" s="255"/>
      <c r="F258" s="256"/>
      <c r="G258" s="3"/>
    </row>
    <row r="259" spans="1:7" s="44" customFormat="1" x14ac:dyDescent="0.3">
      <c r="A259" s="45"/>
      <c r="B259" s="46"/>
      <c r="C259" s="137" t="str">
        <f t="shared" si="39"/>
        <v/>
      </c>
      <c r="D259" s="47"/>
      <c r="E259" s="255"/>
      <c r="F259" s="256"/>
      <c r="G259" s="3"/>
    </row>
    <row r="260" spans="1:7" s="44" customFormat="1" x14ac:dyDescent="0.3">
      <c r="A260" s="46"/>
      <c r="B260" s="46"/>
      <c r="C260" s="137" t="str">
        <f t="shared" si="39"/>
        <v/>
      </c>
      <c r="D260" s="47"/>
      <c r="E260" s="255"/>
      <c r="F260" s="256"/>
      <c r="G260" s="3"/>
    </row>
    <row r="261" spans="1:7" s="44" customFormat="1" x14ac:dyDescent="0.3">
      <c r="A261" s="46"/>
      <c r="B261" s="46"/>
      <c r="C261" s="137" t="str">
        <f t="shared" si="39"/>
        <v/>
      </c>
      <c r="D261" s="47"/>
      <c r="E261" s="255"/>
      <c r="F261" s="256"/>
      <c r="G261" s="3"/>
    </row>
    <row r="262" spans="1:7" s="44" customFormat="1" x14ac:dyDescent="0.3">
      <c r="A262" s="46"/>
      <c r="B262" s="46"/>
      <c r="C262" s="137" t="str">
        <f t="shared" si="39"/>
        <v/>
      </c>
      <c r="D262" s="47"/>
      <c r="E262" s="255"/>
      <c r="F262" s="256"/>
      <c r="G262" s="3"/>
    </row>
    <row r="263" spans="1:7" s="44" customFormat="1" ht="15" thickBot="1" x14ac:dyDescent="0.35">
      <c r="A263" s="48"/>
      <c r="B263" s="48"/>
      <c r="C263" s="137" t="str">
        <f t="shared" si="39"/>
        <v/>
      </c>
      <c r="D263" s="49"/>
      <c r="E263" s="257"/>
      <c r="F263" s="258"/>
      <c r="G263" s="3"/>
    </row>
    <row r="264" spans="1:7" s="44" customFormat="1" ht="15" thickBot="1" x14ac:dyDescent="0.35">
      <c r="A264" s="95" t="s">
        <v>28</v>
      </c>
      <c r="B264" s="69">
        <f>SUM(B256:B263)</f>
        <v>50</v>
      </c>
      <c r="C264" s="95" t="str">
        <f xml:space="preserve"> setValueToTime(B264)</f>
        <v>4h10min</v>
      </c>
      <c r="D264" s="104" t="s">
        <v>174</v>
      </c>
      <c r="E264" s="249"/>
      <c r="F264" s="250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5</v>
      </c>
      <c r="C266" s="146"/>
      <c r="D266" s="67" t="s">
        <v>14</v>
      </c>
      <c r="E266" s="79">
        <v>45414</v>
      </c>
      <c r="F266" s="110" t="s">
        <v>46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1" t="s">
        <v>13</v>
      </c>
      <c r="F267" s="252"/>
      <c r="G267" s="39"/>
    </row>
    <row r="268" spans="1:7" s="44" customFormat="1" x14ac:dyDescent="0.3">
      <c r="A268" s="41" t="s">
        <v>16</v>
      </c>
      <c r="B268" s="42">
        <v>2</v>
      </c>
      <c r="C268" s="137" t="str">
        <f t="shared" ref="C268:C273" si="40" xml:space="preserve"> IF(B268="","",setValueToTime(B268))</f>
        <v>0h10min</v>
      </c>
      <c r="D268" s="43" t="s">
        <v>99</v>
      </c>
      <c r="E268" s="253"/>
      <c r="F268" s="254"/>
      <c r="G268" s="3"/>
    </row>
    <row r="269" spans="1:7" s="44" customFormat="1" x14ac:dyDescent="0.3">
      <c r="A269" s="45" t="s">
        <v>15</v>
      </c>
      <c r="B269" s="46">
        <v>4</v>
      </c>
      <c r="C269" s="137" t="str">
        <f t="shared" si="40"/>
        <v>0h20min</v>
      </c>
      <c r="D269" s="47" t="s">
        <v>97</v>
      </c>
      <c r="E269" s="255"/>
      <c r="F269" s="256"/>
      <c r="G269" s="3"/>
    </row>
    <row r="270" spans="1:7" s="44" customFormat="1" ht="40.5" x14ac:dyDescent="0.3">
      <c r="A270" s="45" t="s">
        <v>88</v>
      </c>
      <c r="B270" s="46">
        <v>20</v>
      </c>
      <c r="C270" s="137" t="str">
        <f t="shared" si="40"/>
        <v>1h40min</v>
      </c>
      <c r="D270" s="47" t="s">
        <v>103</v>
      </c>
      <c r="E270" s="255"/>
      <c r="F270" s="256"/>
      <c r="G270" s="3"/>
    </row>
    <row r="271" spans="1:7" s="44" customFormat="1" x14ac:dyDescent="0.3">
      <c r="A271" s="45" t="s">
        <v>83</v>
      </c>
      <c r="B271" s="46">
        <v>14</v>
      </c>
      <c r="C271" s="137" t="str">
        <f t="shared" si="40"/>
        <v>1h10min</v>
      </c>
      <c r="D271" s="47" t="s">
        <v>102</v>
      </c>
      <c r="E271" s="255"/>
      <c r="F271" s="256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55"/>
      <c r="F272" s="256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55"/>
      <c r="F273" s="256"/>
      <c r="G273" s="3"/>
    </row>
    <row r="274" spans="1:7" s="44" customFormat="1" x14ac:dyDescent="0.3">
      <c r="A274" s="46"/>
      <c r="B274" s="46"/>
      <c r="C274" s="137" t="str">
        <f t="shared" ref="C274:C275" si="41" xml:space="preserve"> IF(B274="","",setValueToTime(B274))</f>
        <v/>
      </c>
      <c r="D274" s="47"/>
      <c r="E274" s="255"/>
      <c r="F274" s="256"/>
      <c r="G274" s="3"/>
    </row>
    <row r="275" spans="1:7" s="44" customFormat="1" ht="15" thickBot="1" x14ac:dyDescent="0.35">
      <c r="A275" s="48"/>
      <c r="B275" s="48"/>
      <c r="C275" s="138" t="str">
        <f t="shared" si="41"/>
        <v/>
      </c>
      <c r="D275" s="49"/>
      <c r="E275" s="257"/>
      <c r="F275" s="258"/>
      <c r="G275" s="3"/>
    </row>
    <row r="276" spans="1:7" s="44" customFormat="1" ht="15" thickBot="1" x14ac:dyDescent="0.35">
      <c r="A276" s="95" t="s">
        <v>28</v>
      </c>
      <c r="B276" s="69">
        <f>SUM(B268:B275)</f>
        <v>40</v>
      </c>
      <c r="C276" s="95" t="str">
        <f xml:space="preserve"> setValueToTime(B276)</f>
        <v>3h20min</v>
      </c>
      <c r="D276" s="104" t="s">
        <v>176</v>
      </c>
      <c r="E276" s="249"/>
      <c r="F276" s="250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4</v>
      </c>
      <c r="C278" s="146"/>
      <c r="D278" s="67" t="s">
        <v>14</v>
      </c>
      <c r="E278" s="79">
        <v>45413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1" t="s">
        <v>13</v>
      </c>
      <c r="F279" s="252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2" xml:space="preserve"> IF(B280="","",setValueToTime(B280))</f>
        <v>0h10min</v>
      </c>
      <c r="D280" s="43" t="s">
        <v>99</v>
      </c>
      <c r="E280" s="253"/>
      <c r="F280" s="254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2"/>
        <v>0h20min</v>
      </c>
      <c r="D281" s="47" t="s">
        <v>97</v>
      </c>
      <c r="E281" s="255"/>
      <c r="F281" s="256"/>
      <c r="G281" s="3"/>
    </row>
    <row r="282" spans="1:7" s="44" customFormat="1" ht="27" x14ac:dyDescent="0.3">
      <c r="A282" s="45" t="s">
        <v>83</v>
      </c>
      <c r="B282" s="46">
        <v>34</v>
      </c>
      <c r="C282" s="137" t="str">
        <f t="shared" si="42"/>
        <v>2h50min</v>
      </c>
      <c r="D282" s="47" t="s">
        <v>101</v>
      </c>
      <c r="E282" s="255"/>
      <c r="F282" s="256"/>
      <c r="G282" s="3"/>
    </row>
    <row r="283" spans="1:7" s="44" customFormat="1" x14ac:dyDescent="0.3">
      <c r="A283" s="45"/>
      <c r="B283" s="46"/>
      <c r="C283" s="137" t="str">
        <f t="shared" si="42"/>
        <v/>
      </c>
      <c r="D283" s="47"/>
      <c r="E283" s="255"/>
      <c r="F283" s="256"/>
      <c r="G283" s="3"/>
    </row>
    <row r="284" spans="1:7" s="44" customFormat="1" x14ac:dyDescent="0.3">
      <c r="A284" s="46"/>
      <c r="B284" s="46"/>
      <c r="C284" s="137" t="str">
        <f t="shared" si="42"/>
        <v/>
      </c>
      <c r="D284" s="47"/>
      <c r="E284" s="255"/>
      <c r="F284" s="256"/>
      <c r="G284" s="3"/>
    </row>
    <row r="285" spans="1:7" s="44" customFormat="1" x14ac:dyDescent="0.3">
      <c r="A285" s="46"/>
      <c r="B285" s="46"/>
      <c r="C285" s="137" t="str">
        <f t="shared" si="42"/>
        <v/>
      </c>
      <c r="D285" s="47"/>
      <c r="E285" s="255"/>
      <c r="F285" s="256"/>
      <c r="G285" s="3"/>
    </row>
    <row r="286" spans="1:7" s="44" customFormat="1" x14ac:dyDescent="0.3">
      <c r="A286" s="46"/>
      <c r="B286" s="46"/>
      <c r="C286" s="137" t="str">
        <f t="shared" ref="C286:C287" si="43" xml:space="preserve"> IF(B286="","",setValueToTime(B286))</f>
        <v/>
      </c>
      <c r="D286" s="47"/>
      <c r="E286" s="255"/>
      <c r="F286" s="256"/>
      <c r="G286" s="3"/>
    </row>
    <row r="287" spans="1:7" s="44" customFormat="1" ht="15" thickBot="1" x14ac:dyDescent="0.35">
      <c r="A287" s="48"/>
      <c r="B287" s="48"/>
      <c r="C287" s="138" t="str">
        <f t="shared" si="43"/>
        <v/>
      </c>
      <c r="D287" s="49"/>
      <c r="E287" s="257"/>
      <c r="F287" s="258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176</v>
      </c>
      <c r="E288" s="249"/>
      <c r="F288" s="250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3</v>
      </c>
      <c r="C290" s="146"/>
      <c r="D290" s="67" t="s">
        <v>14</v>
      </c>
      <c r="E290" s="79">
        <v>45413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1" t="s">
        <v>13</v>
      </c>
      <c r="F291" s="252"/>
      <c r="G291" s="39"/>
    </row>
    <row r="292" spans="1:7" s="44" customFormat="1" x14ac:dyDescent="0.3">
      <c r="A292" s="41" t="s">
        <v>82</v>
      </c>
      <c r="B292" s="42">
        <v>40</v>
      </c>
      <c r="C292" s="137" t="str">
        <f t="shared" ref="C292:C298" si="44" xml:space="preserve"> IF(B292="","",setValueToTime(B292))</f>
        <v>3h20min</v>
      </c>
      <c r="D292" s="43" t="s">
        <v>100</v>
      </c>
      <c r="E292" s="253"/>
      <c r="F292" s="254"/>
      <c r="G292" s="3"/>
    </row>
    <row r="293" spans="1:7" s="44" customFormat="1" x14ac:dyDescent="0.3">
      <c r="A293" s="45"/>
      <c r="B293" s="46"/>
      <c r="C293" s="137" t="str">
        <f t="shared" si="44"/>
        <v/>
      </c>
      <c r="D293" s="47"/>
      <c r="E293" s="255"/>
      <c r="F293" s="256"/>
      <c r="G293" s="3"/>
    </row>
    <row r="294" spans="1:7" s="44" customFormat="1" x14ac:dyDescent="0.3">
      <c r="A294" s="45"/>
      <c r="B294" s="46"/>
      <c r="C294" s="137" t="str">
        <f t="shared" si="44"/>
        <v/>
      </c>
      <c r="D294" s="47"/>
      <c r="E294" s="255"/>
      <c r="F294" s="256"/>
      <c r="G294" s="3"/>
    </row>
    <row r="295" spans="1:7" s="44" customFormat="1" x14ac:dyDescent="0.3">
      <c r="A295" s="45"/>
      <c r="B295" s="46"/>
      <c r="C295" s="137" t="str">
        <f t="shared" si="44"/>
        <v/>
      </c>
      <c r="D295" s="47"/>
      <c r="E295" s="255"/>
      <c r="F295" s="256"/>
      <c r="G295" s="3"/>
    </row>
    <row r="296" spans="1:7" s="44" customFormat="1" x14ac:dyDescent="0.3">
      <c r="A296" s="46"/>
      <c r="B296" s="46"/>
      <c r="C296" s="137" t="str">
        <f t="shared" si="44"/>
        <v/>
      </c>
      <c r="D296" s="47"/>
      <c r="E296" s="255"/>
      <c r="F296" s="256"/>
      <c r="G296" s="3"/>
    </row>
    <row r="297" spans="1:7" s="44" customFormat="1" x14ac:dyDescent="0.3">
      <c r="A297" s="46"/>
      <c r="B297" s="46"/>
      <c r="C297" s="137" t="str">
        <f t="shared" si="44"/>
        <v/>
      </c>
      <c r="D297" s="47"/>
      <c r="E297" s="255"/>
      <c r="F297" s="256"/>
      <c r="G297" s="3"/>
    </row>
    <row r="298" spans="1:7" s="44" customFormat="1" x14ac:dyDescent="0.3">
      <c r="A298" s="46"/>
      <c r="B298" s="46"/>
      <c r="C298" s="137" t="str">
        <f t="shared" si="44"/>
        <v/>
      </c>
      <c r="D298" s="47"/>
      <c r="E298" s="255"/>
      <c r="F298" s="256"/>
      <c r="G298" s="3"/>
    </row>
    <row r="299" spans="1:7" s="44" customFormat="1" ht="15" thickBot="1" x14ac:dyDescent="0.35">
      <c r="A299" s="48"/>
      <c r="B299" s="48"/>
      <c r="C299" s="138" t="str">
        <f t="shared" ref="C299" si="45" xml:space="preserve"> IF(B299="","",setValueToTime(B299))</f>
        <v/>
      </c>
      <c r="D299" s="49"/>
      <c r="E299" s="257"/>
      <c r="F299" s="258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176</v>
      </c>
      <c r="E300" s="249"/>
      <c r="F300" s="250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2</v>
      </c>
      <c r="C302" s="146"/>
      <c r="D302" s="67" t="s">
        <v>14</v>
      </c>
      <c r="E302" s="79">
        <v>45411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1" t="s">
        <v>13</v>
      </c>
      <c r="F303" s="252"/>
      <c r="G303" s="39"/>
    </row>
    <row r="304" spans="1:7" s="44" customFormat="1" x14ac:dyDescent="0.3">
      <c r="A304" s="41" t="s">
        <v>16</v>
      </c>
      <c r="B304" s="42">
        <v>1</v>
      </c>
      <c r="C304" s="137" t="str">
        <f t="shared" ref="C304:C309" si="46" xml:space="preserve"> IF(B304="","",setValueToTime(B304))</f>
        <v>0h5min</v>
      </c>
      <c r="D304" s="43" t="s">
        <v>96</v>
      </c>
      <c r="E304" s="253"/>
      <c r="F304" s="254"/>
      <c r="G304" s="3"/>
    </row>
    <row r="305" spans="1:7" s="44" customFormat="1" x14ac:dyDescent="0.3">
      <c r="A305" s="45" t="s">
        <v>15</v>
      </c>
      <c r="B305" s="46">
        <v>4</v>
      </c>
      <c r="C305" s="137" t="str">
        <f t="shared" si="46"/>
        <v>0h20min</v>
      </c>
      <c r="D305" s="47" t="s">
        <v>97</v>
      </c>
      <c r="E305" s="255"/>
      <c r="F305" s="256"/>
      <c r="G305" s="3"/>
    </row>
    <row r="306" spans="1:7" s="44" customFormat="1" ht="27" x14ac:dyDescent="0.3">
      <c r="A306" s="45" t="s">
        <v>94</v>
      </c>
      <c r="B306" s="46">
        <v>13</v>
      </c>
      <c r="C306" s="137" t="str">
        <f t="shared" si="46"/>
        <v>1h5min</v>
      </c>
      <c r="D306" s="47" t="s">
        <v>80</v>
      </c>
      <c r="E306" s="255"/>
      <c r="F306" s="256"/>
      <c r="G306" s="3"/>
    </row>
    <row r="307" spans="1:7" s="44" customFormat="1" x14ac:dyDescent="0.3">
      <c r="A307" s="46" t="s">
        <v>91</v>
      </c>
      <c r="B307" s="46">
        <v>12</v>
      </c>
      <c r="C307" s="137" t="str">
        <f t="shared" si="46"/>
        <v>1h</v>
      </c>
      <c r="D307" s="47" t="s">
        <v>98</v>
      </c>
      <c r="E307" s="255"/>
      <c r="F307" s="256"/>
      <c r="G307" s="3"/>
    </row>
    <row r="308" spans="1:7" s="44" customFormat="1" x14ac:dyDescent="0.3">
      <c r="A308" s="46"/>
      <c r="B308" s="46"/>
      <c r="C308" s="137" t="str">
        <f t="shared" si="46"/>
        <v/>
      </c>
      <c r="D308" s="47"/>
      <c r="E308" s="255"/>
      <c r="F308" s="256"/>
      <c r="G308" s="3"/>
    </row>
    <row r="309" spans="1:7" s="44" customFormat="1" x14ac:dyDescent="0.3">
      <c r="A309" s="46"/>
      <c r="B309" s="46"/>
      <c r="C309" s="137" t="str">
        <f t="shared" si="46"/>
        <v/>
      </c>
      <c r="D309" s="47"/>
      <c r="E309" s="255"/>
      <c r="F309" s="256"/>
      <c r="G309" s="3"/>
    </row>
    <row r="310" spans="1:7" s="44" customFormat="1" x14ac:dyDescent="0.3">
      <c r="A310" s="46"/>
      <c r="B310" s="46"/>
      <c r="C310" s="137" t="str">
        <f t="shared" ref="C310:C311" si="47" xml:space="preserve"> IF(B310="","",setValueToTime(B310))</f>
        <v/>
      </c>
      <c r="D310" s="47"/>
      <c r="E310" s="255"/>
      <c r="F310" s="256"/>
      <c r="G310" s="3"/>
    </row>
    <row r="311" spans="1:7" s="44" customFormat="1" ht="15" thickBot="1" x14ac:dyDescent="0.35">
      <c r="A311" s="48"/>
      <c r="B311" s="48"/>
      <c r="C311" s="138" t="str">
        <f t="shared" si="47"/>
        <v/>
      </c>
      <c r="D311" s="49"/>
      <c r="E311" s="257"/>
      <c r="F311" s="258"/>
      <c r="G311" s="3"/>
    </row>
    <row r="312" spans="1:7" s="44" customFormat="1" ht="15" thickBot="1" x14ac:dyDescent="0.35">
      <c r="A312" s="95" t="s">
        <v>28</v>
      </c>
      <c r="B312" s="69">
        <f>SUM(B304:B311)</f>
        <v>30</v>
      </c>
      <c r="C312" s="95" t="str">
        <f xml:space="preserve"> setValueToTime(B312)</f>
        <v>2h30min</v>
      </c>
      <c r="D312" s="104" t="s">
        <v>175</v>
      </c>
      <c r="E312" s="249"/>
      <c r="F312" s="250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1</v>
      </c>
      <c r="C314" s="146"/>
      <c r="D314" s="67" t="s">
        <v>14</v>
      </c>
      <c r="E314" s="79">
        <v>45411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1" t="s">
        <v>13</v>
      </c>
      <c r="F315" s="252"/>
      <c r="G315" s="39"/>
    </row>
    <row r="316" spans="1:7" s="44" customFormat="1" ht="27" x14ac:dyDescent="0.3">
      <c r="A316" s="41" t="s">
        <v>45</v>
      </c>
      <c r="B316" s="42">
        <v>6</v>
      </c>
      <c r="C316" s="137">
        <v>15</v>
      </c>
      <c r="D316" s="43" t="s">
        <v>166</v>
      </c>
      <c r="E316" s="253"/>
      <c r="F316" s="254"/>
      <c r="G316" s="3"/>
    </row>
    <row r="317" spans="1:7" s="44" customFormat="1" x14ac:dyDescent="0.3">
      <c r="A317" s="45" t="s">
        <v>31</v>
      </c>
      <c r="B317" s="46">
        <v>26</v>
      </c>
      <c r="C317" s="137" t="str">
        <f t="shared" ref="C317" si="48" xml:space="preserve"> IF(B317="","",setValueToTime(B317))</f>
        <v>2h10min</v>
      </c>
      <c r="D317" s="47" t="s">
        <v>79</v>
      </c>
      <c r="E317" s="255"/>
      <c r="F317" s="256"/>
      <c r="G317" s="3"/>
    </row>
    <row r="318" spans="1:7" s="44" customFormat="1" ht="27" x14ac:dyDescent="0.3">
      <c r="A318" s="45" t="s">
        <v>44</v>
      </c>
      <c r="B318" s="46">
        <v>2</v>
      </c>
      <c r="C318" s="137" t="str">
        <f xml:space="preserve"> IF(B318="","",setValueToTime(B318))</f>
        <v>0h10min</v>
      </c>
      <c r="D318" s="47" t="s">
        <v>81</v>
      </c>
      <c r="E318" s="255"/>
      <c r="F318" s="256"/>
      <c r="G318" s="3"/>
    </row>
    <row r="319" spans="1:7" s="44" customFormat="1" x14ac:dyDescent="0.3">
      <c r="A319" s="46" t="s">
        <v>89</v>
      </c>
      <c r="B319" s="46">
        <v>4</v>
      </c>
      <c r="C319" s="137" t="str">
        <f xml:space="preserve"> IF(B319="","",setValueToTime(B319))</f>
        <v>0h20min</v>
      </c>
      <c r="D319" s="47" t="s">
        <v>90</v>
      </c>
      <c r="E319" s="255"/>
      <c r="F319" s="256"/>
      <c r="G319" s="3"/>
    </row>
    <row r="320" spans="1:7" s="44" customFormat="1" x14ac:dyDescent="0.3">
      <c r="A320" s="46" t="s">
        <v>92</v>
      </c>
      <c r="B320" s="46">
        <v>6</v>
      </c>
      <c r="C320" s="137" t="str">
        <f xml:space="preserve"> IF(B320="","",setValueToTime(B320))</f>
        <v>0h30min</v>
      </c>
      <c r="D320" s="47" t="s">
        <v>95</v>
      </c>
      <c r="E320" s="255"/>
      <c r="F320" s="256"/>
      <c r="G320" s="3"/>
    </row>
    <row r="321" spans="1:7" s="44" customFormat="1" x14ac:dyDescent="0.3">
      <c r="A321" s="46" t="s">
        <v>93</v>
      </c>
      <c r="B321" s="46">
        <v>6</v>
      </c>
      <c r="C321" s="137" t="str">
        <f xml:space="preserve"> IF(B321="","",setValueToTime(B321))</f>
        <v>0h30min</v>
      </c>
      <c r="D321" s="47" t="s">
        <v>156</v>
      </c>
      <c r="E321" s="255"/>
      <c r="F321" s="256"/>
      <c r="G321" s="3"/>
    </row>
    <row r="322" spans="1:7" s="44" customFormat="1" x14ac:dyDescent="0.3">
      <c r="A322" s="187"/>
      <c r="B322" s="187"/>
      <c r="C322" s="188"/>
      <c r="D322" s="189"/>
      <c r="E322" s="255"/>
      <c r="F322" s="256"/>
      <c r="G322" s="3"/>
    </row>
    <row r="323" spans="1:7" s="44" customFormat="1" x14ac:dyDescent="0.3">
      <c r="A323" s="187"/>
      <c r="B323" s="187"/>
      <c r="C323" s="188"/>
      <c r="D323" s="189"/>
      <c r="E323" s="190"/>
      <c r="F323" s="191"/>
      <c r="G323" s="3"/>
    </row>
    <row r="324" spans="1:7" s="44" customFormat="1" x14ac:dyDescent="0.3">
      <c r="A324" s="187"/>
      <c r="B324" s="187"/>
      <c r="C324" s="188"/>
      <c r="D324" s="189"/>
      <c r="E324" s="190"/>
      <c r="F324" s="191"/>
      <c r="G324" s="3"/>
    </row>
    <row r="325" spans="1:7" s="44" customFormat="1" ht="15" thickBot="1" x14ac:dyDescent="0.35">
      <c r="A325" s="48"/>
      <c r="B325" s="48"/>
      <c r="C325" s="138" t="str">
        <f t="shared" ref="C325" si="49" xml:space="preserve"> IF(B325="","",setValueToTime(B325))</f>
        <v/>
      </c>
      <c r="D325" s="49"/>
      <c r="E325" s="257"/>
      <c r="F325" s="258"/>
      <c r="G325" s="3"/>
    </row>
    <row r="326" spans="1:7" s="44" customFormat="1" ht="15" thickBot="1" x14ac:dyDescent="0.35">
      <c r="A326" s="95" t="s">
        <v>28</v>
      </c>
      <c r="B326" s="69">
        <f>SUM(B316:B325)</f>
        <v>50</v>
      </c>
      <c r="C326" s="95" t="str">
        <f xml:space="preserve"> setValueToTime(B326)</f>
        <v>4h10min</v>
      </c>
      <c r="D326" s="104" t="s">
        <v>174</v>
      </c>
      <c r="E326" s="249"/>
      <c r="F326" s="250"/>
      <c r="G326" s="3"/>
    </row>
    <row r="327" spans="1:7" s="44" customFormat="1" x14ac:dyDescent="0.3">
      <c r="A327" s="64"/>
      <c r="B327" s="64"/>
      <c r="C327" s="64"/>
      <c r="D327" s="64"/>
      <c r="E327" s="64"/>
      <c r="F327" s="64"/>
      <c r="G327" s="3"/>
    </row>
  </sheetData>
  <sheetProtection formatRows="0" insertRows="0" insertHyperlinks="0" deleteRows="0" selectLockedCells="1"/>
  <mergeCells count="270">
    <mergeCell ref="E321:F321"/>
    <mergeCell ref="E322:F322"/>
    <mergeCell ref="E325:F325"/>
    <mergeCell ref="E326:F326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68:F268"/>
    <mergeCell ref="E269:F269"/>
    <mergeCell ref="E270:F270"/>
    <mergeCell ref="E271:F271"/>
    <mergeCell ref="E284:F284"/>
    <mergeCell ref="E272:F272"/>
    <mergeCell ref="E274:F274"/>
    <mergeCell ref="E275:F275"/>
    <mergeCell ref="E276:F276"/>
    <mergeCell ref="E273:F273"/>
    <mergeCell ref="E267:F267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192:F192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26">
    <cfRule type="cellIs" dxfId="55" priority="34" operator="greaterThan">
      <formula>60</formula>
    </cfRule>
  </conditionalFormatting>
  <conditionalFormatting sqref="B312">
    <cfRule type="cellIs" dxfId="54" priority="33" operator="greaterThan">
      <formula>60</formula>
    </cfRule>
  </conditionalFormatting>
  <conditionalFormatting sqref="B300">
    <cfRule type="cellIs" dxfId="53" priority="32" operator="greaterThan">
      <formula>60</formula>
    </cfRule>
  </conditionalFormatting>
  <conditionalFormatting sqref="B288">
    <cfRule type="cellIs" dxfId="52" priority="31" operator="greaterThan">
      <formula>60</formula>
    </cfRule>
  </conditionalFormatting>
  <conditionalFormatting sqref="B276">
    <cfRule type="cellIs" dxfId="51" priority="30" operator="greaterThan">
      <formula>60</formula>
    </cfRule>
  </conditionalFormatting>
  <conditionalFormatting sqref="B264">
    <cfRule type="cellIs" dxfId="50" priority="29" operator="greaterThan">
      <formula>60</formula>
    </cfRule>
  </conditionalFormatting>
  <conditionalFormatting sqref="B252">
    <cfRule type="cellIs" dxfId="49" priority="27" operator="greaterThan">
      <formula>60</formula>
    </cfRule>
  </conditionalFormatting>
  <conditionalFormatting sqref="B240">
    <cfRule type="cellIs" dxfId="48" priority="26" operator="greaterThan">
      <formula>60</formula>
    </cfRule>
  </conditionalFormatting>
  <conditionalFormatting sqref="B228">
    <cfRule type="cellIs" dxfId="47" priority="25" operator="greaterThan">
      <formula>60</formula>
    </cfRule>
  </conditionalFormatting>
  <conditionalFormatting sqref="B216">
    <cfRule type="cellIs" dxfId="46" priority="24" operator="greaterThan">
      <formula>60</formula>
    </cfRule>
  </conditionalFormatting>
  <conditionalFormatting sqref="B204">
    <cfRule type="cellIs" dxfId="45" priority="22" operator="greaterThan">
      <formula>60</formula>
    </cfRule>
  </conditionalFormatting>
  <conditionalFormatting sqref="B192">
    <cfRule type="cellIs" dxfId="44" priority="18" operator="greaterThan">
      <formula>60</formula>
    </cfRule>
  </conditionalFormatting>
  <conditionalFormatting sqref="B180">
    <cfRule type="cellIs" dxfId="43" priority="17" operator="greaterThan">
      <formula>60</formula>
    </cfRule>
  </conditionalFormatting>
  <conditionalFormatting sqref="B168">
    <cfRule type="cellIs" dxfId="42" priority="16" operator="greaterThan">
      <formula>60</formula>
    </cfRule>
  </conditionalFormatting>
  <conditionalFormatting sqref="B156">
    <cfRule type="cellIs" dxfId="41" priority="15" operator="greaterThan">
      <formula>60</formula>
    </cfRule>
  </conditionalFormatting>
  <conditionalFormatting sqref="B144">
    <cfRule type="cellIs" dxfId="40" priority="14" operator="greaterThan">
      <formula>60</formula>
    </cfRule>
  </conditionalFormatting>
  <conditionalFormatting sqref="B132">
    <cfRule type="cellIs" dxfId="39" priority="13" operator="greaterThan">
      <formula>60</formula>
    </cfRule>
  </conditionalFormatting>
  <conditionalFormatting sqref="B120">
    <cfRule type="cellIs" dxfId="38" priority="12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6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0:B47 B304:B311 B280:B287 B136:B143 B292:B299 B268:B275 B4:B11 B256:B263 B232:B239 B88:B95 B196:B203 B244:B251 B16:B23 B208:B215 B184:B191 B172:B179 B160:B167 B112:B119 B316:B325 B148:B155 B100:B107 B64:B71 B76:B83 B52:B59 B220:B227 B28:B35 B124:B131" xr:uid="{4C46C5A8-B85C-49E4-8C4D-3ABBB3DFA935}">
      <formula1>0</formula1>
    </dataValidation>
    <dataValidation type="list" allowBlank="1" showInputMessage="1" showErrorMessage="1" sqref="A40:A47 A316:A325 A280:A287 A136:A143 A292:A299 A268:A275 A4:A11 A256:A263 A232:A239 A88:A95 A208:A215 A244:A251 A16:A23 A196:A203 A184:A191 A172:A179 A160:A167 A112:A119 A304:A311 A148:A155 A100:A107 A64:A71 A76:A83 A52:A59 A220:A227 A28:A35 A124:A13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2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66"/>
  <sheetViews>
    <sheetView showGridLines="0" tabSelected="1" view="pageBreakPreview" zoomScale="98" zoomScaleNormal="100" zoomScaleSheetLayoutView="98" workbookViewId="0">
      <pane ySplit="1" topLeftCell="A194" activePane="bottomLeft" state="frozen"/>
      <selection pane="bottomLeft" activeCell="D199" sqref="D199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27</v>
      </c>
      <c r="C2" s="147"/>
      <c r="D2" s="140" t="s">
        <v>14</v>
      </c>
      <c r="E2" s="141">
        <v>45441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1" t="s">
        <v>13</v>
      </c>
      <c r="F3" s="262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3"/>
      <c r="F4" s="254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5"/>
      <c r="F10" s="256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7"/>
      <c r="F11" s="258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176</v>
      </c>
      <c r="E12" s="259"/>
      <c r="F12" s="260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26</v>
      </c>
      <c r="C14" s="147"/>
      <c r="D14" s="140" t="s">
        <v>14</v>
      </c>
      <c r="E14" s="141">
        <v>45441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1" t="s">
        <v>13</v>
      </c>
      <c r="F15" s="262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3"/>
      <c r="F16" s="254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55"/>
      <c r="F17" s="256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55"/>
      <c r="F18" s="256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55"/>
      <c r="F19" s="256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55"/>
      <c r="F20" s="256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55"/>
      <c r="F21" s="256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55"/>
      <c r="F22" s="256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7"/>
      <c r="F23" s="258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176</v>
      </c>
      <c r="E24" s="259"/>
      <c r="F24" s="260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25</v>
      </c>
      <c r="C26" s="147"/>
      <c r="D26" s="140" t="s">
        <v>14</v>
      </c>
      <c r="E26" s="141">
        <v>45439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1" t="s">
        <v>13</v>
      </c>
      <c r="F27" s="262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3"/>
      <c r="F28" s="254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55"/>
      <c r="F29" s="256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55"/>
      <c r="F30" s="256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55"/>
      <c r="F31" s="256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55"/>
      <c r="F32" s="256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55"/>
      <c r="F33" s="256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55"/>
      <c r="F34" s="256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7"/>
      <c r="F35" s="258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186</v>
      </c>
      <c r="E36" s="259"/>
      <c r="F36" s="260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24</v>
      </c>
      <c r="C38" s="147"/>
      <c r="D38" s="140" t="s">
        <v>14</v>
      </c>
      <c r="E38" s="141">
        <v>45439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1" t="s">
        <v>13</v>
      </c>
      <c r="F39" s="262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3"/>
      <c r="F40" s="254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55"/>
      <c r="F41" s="256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55"/>
      <c r="F42" s="256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55"/>
      <c r="F43" s="256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55"/>
      <c r="F44" s="256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55"/>
      <c r="F45" s="256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55"/>
      <c r="F46" s="256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7"/>
      <c r="F47" s="258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178</v>
      </c>
      <c r="E48" s="259"/>
      <c r="F48" s="260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23</v>
      </c>
      <c r="C50" s="147"/>
      <c r="D50" s="140" t="s">
        <v>14</v>
      </c>
      <c r="E50" s="141">
        <v>45436</v>
      </c>
      <c r="F50" s="196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1" t="s">
        <v>13</v>
      </c>
      <c r="F51" s="262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3"/>
      <c r="F52" s="254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55"/>
      <c r="F53" s="256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55"/>
      <c r="F54" s="256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55"/>
      <c r="F55" s="256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55"/>
      <c r="F56" s="256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55"/>
      <c r="F57" s="256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55"/>
      <c r="F58" s="256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7"/>
      <c r="F59" s="258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179</v>
      </c>
      <c r="E60" s="259"/>
      <c r="F60" s="260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22</v>
      </c>
      <c r="C62" s="147"/>
      <c r="D62" s="140" t="s">
        <v>14</v>
      </c>
      <c r="E62" s="141">
        <v>45436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1" t="s">
        <v>13</v>
      </c>
      <c r="F63" s="262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3"/>
      <c r="F64" s="254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55"/>
      <c r="F65" s="256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55"/>
      <c r="F66" s="256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55"/>
      <c r="F67" s="256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55"/>
      <c r="F68" s="256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55"/>
      <c r="F69" s="256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55"/>
      <c r="F70" s="256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7"/>
      <c r="F71" s="258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180</v>
      </c>
      <c r="E72" s="259"/>
      <c r="F72" s="260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21</v>
      </c>
      <c r="C74" s="147"/>
      <c r="D74" s="140" t="s">
        <v>14</v>
      </c>
      <c r="E74" s="141">
        <v>45435</v>
      </c>
      <c r="F74" s="142" t="s">
        <v>46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1" t="s">
        <v>13</v>
      </c>
      <c r="F75" s="262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3"/>
      <c r="F76" s="254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55"/>
      <c r="F77" s="256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55"/>
      <c r="F78" s="256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55"/>
      <c r="F79" s="256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55"/>
      <c r="F80" s="256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55"/>
      <c r="F81" s="256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55"/>
      <c r="F82" s="256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7"/>
      <c r="F83" s="258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177</v>
      </c>
      <c r="E84" s="259"/>
      <c r="F84" s="260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20</v>
      </c>
      <c r="C86" s="147"/>
      <c r="D86" s="140" t="s">
        <v>14</v>
      </c>
      <c r="E86" s="141">
        <v>45434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1" t="s">
        <v>13</v>
      </c>
      <c r="F87" s="262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53"/>
      <c r="F88" s="254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55"/>
      <c r="F89" s="256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55"/>
      <c r="F90" s="256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55"/>
      <c r="F91" s="256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55"/>
      <c r="F92" s="256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55"/>
      <c r="F93" s="256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55"/>
      <c r="F94" s="256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7"/>
      <c r="F95" s="258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200" t="s">
        <v>112</v>
      </c>
      <c r="E96" s="259"/>
      <c r="F96" s="260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19</v>
      </c>
      <c r="C98" s="147"/>
      <c r="D98" s="140" t="s">
        <v>14</v>
      </c>
      <c r="E98" s="141">
        <v>45434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1" t="s">
        <v>13</v>
      </c>
      <c r="F99" s="262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53"/>
      <c r="F100" s="254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55"/>
      <c r="F101" s="256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55"/>
      <c r="F102" s="256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55"/>
      <c r="F103" s="256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55"/>
      <c r="F104" s="256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55"/>
      <c r="F105" s="256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55"/>
      <c r="F106" s="256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7"/>
      <c r="F107" s="258"/>
      <c r="G107" s="3"/>
    </row>
    <row r="108" spans="1:7" s="44" customFormat="1" ht="15" thickBot="1" x14ac:dyDescent="0.35">
      <c r="A108" s="145" t="s">
        <v>28</v>
      </c>
      <c r="B108" s="68">
        <f>SUM(B100:B107)</f>
        <v>0</v>
      </c>
      <c r="C108" s="145" t="str">
        <f xml:space="preserve"> setValueToTime(B108)</f>
        <v>0h</v>
      </c>
      <c r="D108" s="200" t="s">
        <v>176</v>
      </c>
      <c r="E108" s="259"/>
      <c r="F108" s="260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18</v>
      </c>
      <c r="C110" s="147"/>
      <c r="D110" s="140" t="s">
        <v>14</v>
      </c>
      <c r="E110" s="141" t="s">
        <v>59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1" t="s">
        <v>13</v>
      </c>
      <c r="F111" s="262"/>
      <c r="G111" s="39"/>
    </row>
    <row r="112" spans="1:7" s="44" customFormat="1" x14ac:dyDescent="0.3">
      <c r="A112" s="41"/>
      <c r="B112" s="42"/>
      <c r="C112" s="135" t="str">
        <f t="shared" ref="C112:C119" si="9" xml:space="preserve"> IF(B112="","",setValueToTime(B112))</f>
        <v/>
      </c>
      <c r="D112" s="43"/>
      <c r="E112" s="253"/>
      <c r="F112" s="254"/>
      <c r="G112" s="3"/>
    </row>
    <row r="113" spans="1:7" s="44" customFormat="1" x14ac:dyDescent="0.3">
      <c r="A113" s="45"/>
      <c r="B113" s="46"/>
      <c r="C113" s="136" t="str">
        <f t="shared" si="9"/>
        <v/>
      </c>
      <c r="D113" s="47"/>
      <c r="E113" s="255"/>
      <c r="F113" s="256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55"/>
      <c r="F114" s="256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55"/>
      <c r="F115" s="256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55"/>
      <c r="F116" s="256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55"/>
      <c r="F117" s="256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55"/>
      <c r="F118" s="256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7"/>
      <c r="F119" s="258"/>
      <c r="G119" s="3"/>
    </row>
    <row r="120" spans="1:7" s="44" customFormat="1" ht="15" thickBot="1" x14ac:dyDescent="0.35">
      <c r="A120" s="145" t="s">
        <v>28</v>
      </c>
      <c r="B120" s="68">
        <f>SUM(B112:B119)</f>
        <v>0</v>
      </c>
      <c r="C120" s="145" t="str">
        <f xml:space="preserve"> setValueToTime(B120)</f>
        <v>0h</v>
      </c>
      <c r="D120" s="200" t="s">
        <v>176</v>
      </c>
      <c r="E120" s="259"/>
      <c r="F120" s="260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17</v>
      </c>
      <c r="C122" s="147"/>
      <c r="D122" s="140" t="s">
        <v>14</v>
      </c>
      <c r="E122" s="141" t="s">
        <v>59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1" t="s">
        <v>13</v>
      </c>
      <c r="F123" s="262"/>
      <c r="G123" s="39"/>
    </row>
    <row r="124" spans="1:7" s="44" customFormat="1" x14ac:dyDescent="0.3">
      <c r="A124" s="41"/>
      <c r="B124" s="42"/>
      <c r="C124" s="135" t="str">
        <f t="shared" ref="C124:C131" si="10" xml:space="preserve"> IF(B124="","",setValueToTime(B124))</f>
        <v/>
      </c>
      <c r="D124" s="43"/>
      <c r="E124" s="253"/>
      <c r="F124" s="254"/>
      <c r="G124" s="3"/>
    </row>
    <row r="125" spans="1:7" s="44" customFormat="1" x14ac:dyDescent="0.3">
      <c r="A125" s="45"/>
      <c r="B125" s="46"/>
      <c r="C125" s="136" t="str">
        <f t="shared" si="10"/>
        <v/>
      </c>
      <c r="D125" s="47"/>
      <c r="E125" s="255"/>
      <c r="F125" s="256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55"/>
      <c r="F126" s="256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55"/>
      <c r="F127" s="256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55"/>
      <c r="F128" s="256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55"/>
      <c r="F129" s="256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55"/>
      <c r="F130" s="256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7"/>
      <c r="F131" s="258"/>
      <c r="G131" s="3"/>
    </row>
    <row r="132" spans="1:7" s="44" customFormat="1" ht="15" thickBot="1" x14ac:dyDescent="0.35">
      <c r="A132" s="145" t="s">
        <v>28</v>
      </c>
      <c r="B132" s="68">
        <f>SUM(B124:B131)</f>
        <v>0</v>
      </c>
      <c r="C132" s="145" t="str">
        <f xml:space="preserve"> setValueToTime(B132)</f>
        <v>0h</v>
      </c>
      <c r="D132" s="200" t="s">
        <v>185</v>
      </c>
      <c r="E132" s="259"/>
      <c r="F132" s="260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16</v>
      </c>
      <c r="C134" s="147"/>
      <c r="D134" s="140" t="s">
        <v>14</v>
      </c>
      <c r="E134" s="141" t="s">
        <v>62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1" t="s">
        <v>13</v>
      </c>
      <c r="F135" s="262"/>
      <c r="G135" s="39"/>
    </row>
    <row r="136" spans="1:7" s="44" customFormat="1" x14ac:dyDescent="0.3">
      <c r="A136" s="41"/>
      <c r="B136" s="42"/>
      <c r="C136" s="135" t="str">
        <f t="shared" ref="C136:C143" si="11" xml:space="preserve"> IF(B136="","",setValueToTime(B136))</f>
        <v/>
      </c>
      <c r="D136" s="43"/>
      <c r="E136" s="253"/>
      <c r="F136" s="254"/>
      <c r="G136" s="3"/>
    </row>
    <row r="137" spans="1:7" s="44" customFormat="1" x14ac:dyDescent="0.3">
      <c r="A137" s="45"/>
      <c r="B137" s="46"/>
      <c r="C137" s="136" t="str">
        <f t="shared" si="11"/>
        <v/>
      </c>
      <c r="D137" s="47"/>
      <c r="E137" s="255"/>
      <c r="F137" s="256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55"/>
      <c r="F138" s="256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55"/>
      <c r="F139" s="256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55"/>
      <c r="F140" s="256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55"/>
      <c r="F141" s="256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55"/>
      <c r="F142" s="256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7"/>
      <c r="F143" s="258"/>
      <c r="G143" s="3"/>
    </row>
    <row r="144" spans="1:7" s="44" customFormat="1" ht="15" thickBot="1" x14ac:dyDescent="0.35">
      <c r="A144" s="145" t="s">
        <v>28</v>
      </c>
      <c r="B144" s="68">
        <f>SUM(B136:B143)</f>
        <v>0</v>
      </c>
      <c r="C144" s="145" t="str">
        <f xml:space="preserve"> setValueToTime(B144)</f>
        <v>0h</v>
      </c>
      <c r="D144" s="200" t="s">
        <v>177</v>
      </c>
      <c r="E144" s="259"/>
      <c r="F144" s="260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15</v>
      </c>
      <c r="C146" s="147"/>
      <c r="D146" s="140" t="s">
        <v>14</v>
      </c>
      <c r="E146" s="141" t="s">
        <v>64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1" t="s">
        <v>13</v>
      </c>
      <c r="F147" s="262"/>
      <c r="G147" s="39"/>
    </row>
    <row r="148" spans="1:7" s="44" customFormat="1" x14ac:dyDescent="0.3">
      <c r="A148" s="41"/>
      <c r="B148" s="42"/>
      <c r="C148" s="135" t="str">
        <f t="shared" ref="C148:C155" si="12" xml:space="preserve"> IF(B148="","",setValueToTime(B148))</f>
        <v/>
      </c>
      <c r="D148" s="43"/>
      <c r="E148" s="253"/>
      <c r="F148" s="254"/>
      <c r="G148" s="3"/>
    </row>
    <row r="149" spans="1:7" s="44" customFormat="1" x14ac:dyDescent="0.3">
      <c r="A149" s="45"/>
      <c r="B149" s="46"/>
      <c r="C149" s="136" t="str">
        <f t="shared" si="12"/>
        <v/>
      </c>
      <c r="D149" s="47"/>
      <c r="E149" s="255"/>
      <c r="F149" s="256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55"/>
      <c r="F150" s="256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55"/>
      <c r="F151" s="256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55"/>
      <c r="F152" s="256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55"/>
      <c r="F153" s="256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55"/>
      <c r="F154" s="256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7"/>
      <c r="F155" s="258"/>
      <c r="G155" s="3"/>
    </row>
    <row r="156" spans="1:7" s="44" customFormat="1" ht="15" thickBot="1" x14ac:dyDescent="0.35">
      <c r="A156" s="145" t="s">
        <v>28</v>
      </c>
      <c r="B156" s="68">
        <f>SUM(B148:B155)</f>
        <v>0</v>
      </c>
      <c r="C156" s="145" t="str">
        <f xml:space="preserve"> setValueToTime(B156)</f>
        <v>0h</v>
      </c>
      <c r="D156" s="200" t="s">
        <v>112</v>
      </c>
      <c r="E156" s="259"/>
      <c r="F156" s="260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14</v>
      </c>
      <c r="C158" s="147"/>
      <c r="D158" s="140" t="s">
        <v>14</v>
      </c>
      <c r="E158" s="141" t="s">
        <v>64</v>
      </c>
      <c r="F158" s="142" t="s">
        <v>47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1" t="s">
        <v>13</v>
      </c>
      <c r="F159" s="262"/>
      <c r="G159" s="39"/>
    </row>
    <row r="160" spans="1:7" s="44" customFormat="1" x14ac:dyDescent="0.3">
      <c r="A160" s="41"/>
      <c r="B160" s="42"/>
      <c r="C160" s="135" t="str">
        <f t="shared" ref="C160:C167" si="13" xml:space="preserve"> IF(B160="","",setValueToTime(B160))</f>
        <v/>
      </c>
      <c r="D160" s="43"/>
      <c r="E160" s="253"/>
      <c r="F160" s="254"/>
      <c r="G160" s="3"/>
    </row>
    <row r="161" spans="1:7" s="44" customFormat="1" x14ac:dyDescent="0.3">
      <c r="A161" s="45"/>
      <c r="B161" s="46"/>
      <c r="C161" s="136" t="str">
        <f t="shared" si="13"/>
        <v/>
      </c>
      <c r="D161" s="47"/>
      <c r="E161" s="255"/>
      <c r="F161" s="256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55"/>
      <c r="F162" s="256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55"/>
      <c r="F163" s="256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55"/>
      <c r="F164" s="256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55"/>
      <c r="F165" s="256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55"/>
      <c r="F166" s="256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7"/>
      <c r="F167" s="258"/>
      <c r="G167" s="3"/>
    </row>
    <row r="168" spans="1:7" s="44" customFormat="1" ht="15" thickBot="1" x14ac:dyDescent="0.35">
      <c r="A168" s="145" t="s">
        <v>28</v>
      </c>
      <c r="B168" s="68">
        <f>SUM(B160:B167)</f>
        <v>0</v>
      </c>
      <c r="C168" s="145" t="str">
        <f xml:space="preserve"> setValueToTime(B168)</f>
        <v>0h</v>
      </c>
      <c r="D168" s="200" t="s">
        <v>177</v>
      </c>
      <c r="E168" s="259"/>
      <c r="F168" s="260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13</v>
      </c>
      <c r="C170" s="147"/>
      <c r="D170" s="140" t="s">
        <v>14</v>
      </c>
      <c r="E170" s="141" t="s">
        <v>67</v>
      </c>
      <c r="F170" s="142" t="s">
        <v>46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1" t="s">
        <v>13</v>
      </c>
      <c r="F171" s="262"/>
      <c r="G171" s="39"/>
    </row>
    <row r="172" spans="1:7" s="44" customFormat="1" x14ac:dyDescent="0.3">
      <c r="A172" s="41"/>
      <c r="B172" s="42"/>
      <c r="C172" s="135" t="str">
        <f t="shared" ref="C172:C179" si="14" xml:space="preserve"> IF(B172="","",setValueToTime(B172))</f>
        <v/>
      </c>
      <c r="D172" s="43"/>
      <c r="E172" s="253"/>
      <c r="F172" s="254"/>
      <c r="G172" s="3"/>
    </row>
    <row r="173" spans="1:7" s="44" customFormat="1" x14ac:dyDescent="0.3">
      <c r="A173" s="45"/>
      <c r="B173" s="46"/>
      <c r="C173" s="136" t="str">
        <f t="shared" si="14"/>
        <v/>
      </c>
      <c r="D173" s="47"/>
      <c r="E173" s="255"/>
      <c r="F173" s="256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55"/>
      <c r="F174" s="256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55"/>
      <c r="F175" s="256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55"/>
      <c r="F176" s="256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55"/>
      <c r="F177" s="256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55"/>
      <c r="F178" s="256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7"/>
      <c r="F179" s="258"/>
      <c r="G179" s="3"/>
    </row>
    <row r="180" spans="1:7" s="44" customFormat="1" ht="15" thickBot="1" x14ac:dyDescent="0.35">
      <c r="A180" s="145" t="s">
        <v>28</v>
      </c>
      <c r="B180" s="68">
        <f>SUM(B172:B179)</f>
        <v>0</v>
      </c>
      <c r="C180" s="145" t="str">
        <f xml:space="preserve"> setValueToTime(B180)</f>
        <v>0h</v>
      </c>
      <c r="D180" s="200" t="s">
        <v>175</v>
      </c>
      <c r="E180" s="259"/>
      <c r="F180" s="260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12</v>
      </c>
      <c r="C182" s="147"/>
      <c r="D182" s="140" t="s">
        <v>14</v>
      </c>
      <c r="E182" s="141" t="s">
        <v>67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1" t="s">
        <v>13</v>
      </c>
      <c r="F183" s="262"/>
      <c r="G183" s="39"/>
    </row>
    <row r="184" spans="1:7" s="44" customFormat="1" x14ac:dyDescent="0.3">
      <c r="A184" s="41"/>
      <c r="B184" s="42"/>
      <c r="C184" s="135" t="str">
        <f t="shared" ref="C184:C191" si="15" xml:space="preserve"> IF(B184="","",setValueToTime(B184))</f>
        <v/>
      </c>
      <c r="D184" s="43"/>
      <c r="E184" s="253"/>
      <c r="F184" s="254"/>
      <c r="G184" s="3"/>
    </row>
    <row r="185" spans="1:7" s="44" customFormat="1" x14ac:dyDescent="0.3">
      <c r="A185" s="45"/>
      <c r="B185" s="46"/>
      <c r="C185" s="136" t="str">
        <f t="shared" si="15"/>
        <v/>
      </c>
      <c r="D185" s="47"/>
      <c r="E185" s="255"/>
      <c r="F185" s="256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55"/>
      <c r="F186" s="256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55"/>
      <c r="F187" s="256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55"/>
      <c r="F188" s="256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55"/>
      <c r="F189" s="256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55"/>
      <c r="F190" s="256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7"/>
      <c r="F191" s="258"/>
      <c r="G191" s="3"/>
    </row>
    <row r="192" spans="1:7" s="44" customFormat="1" ht="15" thickBot="1" x14ac:dyDescent="0.35">
      <c r="A192" s="145" t="s">
        <v>28</v>
      </c>
      <c r="B192" s="68">
        <f>SUM(B184:B191)</f>
        <v>0</v>
      </c>
      <c r="C192" s="145" t="str">
        <f xml:space="preserve"> setValueToTime(B192)</f>
        <v>0h</v>
      </c>
      <c r="D192" s="200" t="s">
        <v>174</v>
      </c>
      <c r="E192" s="259"/>
      <c r="F192" s="260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11</v>
      </c>
      <c r="C194" s="147"/>
      <c r="D194" s="140" t="s">
        <v>14</v>
      </c>
      <c r="E194" s="141" t="s">
        <v>70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1" t="s">
        <v>13</v>
      </c>
      <c r="F195" s="262"/>
      <c r="G195" s="39"/>
    </row>
    <row r="196" spans="1:7" s="44" customFormat="1" x14ac:dyDescent="0.3">
      <c r="A196" s="41" t="s">
        <v>15</v>
      </c>
      <c r="B196" s="42">
        <v>10</v>
      </c>
      <c r="C196" s="135" t="str">
        <f t="shared" ref="C196:C203" si="16" xml:space="preserve"> IF(B196="","",setValueToTime(B196))</f>
        <v>0h50min</v>
      </c>
      <c r="D196" s="214" t="s">
        <v>225</v>
      </c>
      <c r="E196" s="253"/>
      <c r="F196" s="254"/>
      <c r="G196" s="3"/>
    </row>
    <row r="197" spans="1:7" s="44" customFormat="1" ht="54" x14ac:dyDescent="0.3">
      <c r="A197" s="45" t="s">
        <v>88</v>
      </c>
      <c r="B197" s="46">
        <v>15</v>
      </c>
      <c r="C197" s="136" t="str">
        <f t="shared" si="16"/>
        <v>1h15min</v>
      </c>
      <c r="D197" s="202" t="s">
        <v>227</v>
      </c>
      <c r="E197" s="255"/>
      <c r="F197" s="256"/>
      <c r="G197" s="3"/>
    </row>
    <row r="198" spans="1:7" s="44" customFormat="1" ht="27" x14ac:dyDescent="0.3">
      <c r="A198" s="45" t="s">
        <v>16</v>
      </c>
      <c r="B198" s="46">
        <v>2</v>
      </c>
      <c r="C198" s="136" t="str">
        <f t="shared" si="16"/>
        <v>0h10min</v>
      </c>
      <c r="D198" s="202" t="s">
        <v>99</v>
      </c>
      <c r="E198" s="255"/>
      <c r="F198" s="256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55"/>
      <c r="F199" s="256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55"/>
      <c r="F200" s="256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55"/>
      <c r="F201" s="256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55"/>
      <c r="F202" s="256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7"/>
      <c r="F203" s="258"/>
      <c r="G203" s="3"/>
    </row>
    <row r="204" spans="1:7" s="44" customFormat="1" ht="15" thickBot="1" x14ac:dyDescent="0.35">
      <c r="A204" s="145" t="s">
        <v>28</v>
      </c>
      <c r="B204" s="68">
        <f>SUM(B196:B203)</f>
        <v>27</v>
      </c>
      <c r="C204" s="145" t="str">
        <f xml:space="preserve"> setValueToTime(B204)</f>
        <v>2h15min</v>
      </c>
      <c r="D204" s="200" t="s">
        <v>176</v>
      </c>
      <c r="E204" s="259"/>
      <c r="F204" s="260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10</v>
      </c>
      <c r="C206" s="147"/>
      <c r="D206" s="140" t="s">
        <v>14</v>
      </c>
      <c r="E206" s="141" t="s">
        <v>70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1" t="s">
        <v>13</v>
      </c>
      <c r="F207" s="262"/>
      <c r="G207" s="39"/>
    </row>
    <row r="208" spans="1:7" s="44" customFormat="1" ht="54" x14ac:dyDescent="0.3">
      <c r="A208" s="41" t="s">
        <v>88</v>
      </c>
      <c r="B208" s="42">
        <v>2</v>
      </c>
      <c r="C208" s="135" t="str">
        <f xml:space="preserve"> IF(B208="","",setValueToTime(B208))</f>
        <v>0h10min</v>
      </c>
      <c r="D208" s="214" t="s">
        <v>221</v>
      </c>
      <c r="E208" s="253"/>
      <c r="F208" s="254"/>
      <c r="G208" s="3"/>
    </row>
    <row r="209" spans="1:7" s="44" customFormat="1" x14ac:dyDescent="0.3">
      <c r="A209" s="45" t="s">
        <v>89</v>
      </c>
      <c r="B209" s="46">
        <v>1</v>
      </c>
      <c r="C209" s="136" t="str">
        <f t="shared" ref="C209:C215" si="17" xml:space="preserve"> IF(B209="","",setValueToTime(B209))</f>
        <v>0h5min</v>
      </c>
      <c r="D209" s="202" t="s">
        <v>222</v>
      </c>
      <c r="E209" s="255"/>
      <c r="F209" s="256"/>
      <c r="G209" s="3"/>
    </row>
    <row r="210" spans="1:7" s="44" customFormat="1" ht="27" x14ac:dyDescent="0.3">
      <c r="A210" s="45" t="s">
        <v>15</v>
      </c>
      <c r="B210" s="46">
        <v>37</v>
      </c>
      <c r="C210" s="136" t="str">
        <f t="shared" si="17"/>
        <v>3h5min</v>
      </c>
      <c r="D210" s="202" t="s">
        <v>226</v>
      </c>
      <c r="E210" s="255"/>
      <c r="F210" s="256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55"/>
      <c r="F211" s="256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55"/>
      <c r="F212" s="256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55"/>
      <c r="F213" s="256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55"/>
      <c r="F214" s="256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7"/>
      <c r="F215" s="258"/>
      <c r="G215" s="3"/>
    </row>
    <row r="216" spans="1:7" s="44" customFormat="1" ht="15" thickBot="1" x14ac:dyDescent="0.35">
      <c r="A216" s="145" t="s">
        <v>28</v>
      </c>
      <c r="B216" s="68">
        <f>SUM(B208:B215)</f>
        <v>40</v>
      </c>
      <c r="C216" s="145" t="str">
        <f xml:space="preserve"> setValueToTime(B216)</f>
        <v>3h20min</v>
      </c>
      <c r="D216" s="200" t="s">
        <v>176</v>
      </c>
      <c r="E216" s="259"/>
      <c r="F216" s="260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9</v>
      </c>
      <c r="C218" s="147"/>
      <c r="D218" s="140" t="s">
        <v>14</v>
      </c>
      <c r="E218" s="141" t="s">
        <v>71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1" t="s">
        <v>13</v>
      </c>
      <c r="F219" s="262"/>
      <c r="G219" s="39"/>
    </row>
    <row r="220" spans="1:7" s="44" customFormat="1" ht="27" x14ac:dyDescent="0.3">
      <c r="A220" s="41" t="s">
        <v>16</v>
      </c>
      <c r="B220" s="42">
        <v>2</v>
      </c>
      <c r="C220" s="135" t="str">
        <f xml:space="preserve"> IF(B220="","",setValueToTime(B220))</f>
        <v>0h10min</v>
      </c>
      <c r="D220" s="214" t="s">
        <v>99</v>
      </c>
      <c r="E220" s="253"/>
      <c r="F220" s="254"/>
      <c r="G220" s="3"/>
    </row>
    <row r="221" spans="1:7" s="44" customFormat="1" ht="27" x14ac:dyDescent="0.3">
      <c r="A221" s="45" t="s">
        <v>89</v>
      </c>
      <c r="B221" s="46">
        <v>3</v>
      </c>
      <c r="C221" s="136" t="str">
        <f t="shared" ref="C221:C227" si="18" xml:space="preserve"> IF(B221="","",setValueToTime(B221))</f>
        <v>0h15min</v>
      </c>
      <c r="D221" s="202" t="s">
        <v>219</v>
      </c>
      <c r="E221" s="255"/>
      <c r="F221" s="256"/>
      <c r="G221" s="3"/>
    </row>
    <row r="222" spans="1:7" s="44" customFormat="1" ht="27" x14ac:dyDescent="0.3">
      <c r="A222" s="45" t="s">
        <v>85</v>
      </c>
      <c r="B222" s="46">
        <v>25</v>
      </c>
      <c r="C222" s="136" t="str">
        <f t="shared" si="18"/>
        <v>2h5min</v>
      </c>
      <c r="D222" s="202" t="s">
        <v>220</v>
      </c>
      <c r="E222" s="255"/>
      <c r="F222" s="256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55"/>
      <c r="F223" s="256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55"/>
      <c r="F224" s="256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55"/>
      <c r="F225" s="256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55"/>
      <c r="F226" s="256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7"/>
      <c r="F227" s="258"/>
      <c r="G227" s="3"/>
    </row>
    <row r="228" spans="1:7" s="44" customFormat="1" ht="15" thickBot="1" x14ac:dyDescent="0.35">
      <c r="A228" s="145" t="s">
        <v>28</v>
      </c>
      <c r="B228" s="68">
        <f>SUM(B220:B227)</f>
        <v>30</v>
      </c>
      <c r="C228" s="145" t="str">
        <f xml:space="preserve"> setValueToTime(B228)</f>
        <v>2h30min</v>
      </c>
      <c r="D228" s="200" t="s">
        <v>175</v>
      </c>
      <c r="E228" s="259"/>
      <c r="F228" s="260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8</v>
      </c>
      <c r="C230" s="147"/>
      <c r="D230" s="140" t="s">
        <v>14</v>
      </c>
      <c r="E230" s="141" t="s">
        <v>71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1" t="s">
        <v>13</v>
      </c>
      <c r="F231" s="262"/>
      <c r="G231" s="39"/>
    </row>
    <row r="232" spans="1:7" s="44" customFormat="1" ht="27" x14ac:dyDescent="0.3">
      <c r="A232" s="41" t="s">
        <v>85</v>
      </c>
      <c r="B232" s="42">
        <v>49</v>
      </c>
      <c r="C232" s="135" t="str">
        <f xml:space="preserve"> IF(B232="","",setValueToTime(B232))</f>
        <v>4h5min</v>
      </c>
      <c r="D232" s="214" t="s">
        <v>217</v>
      </c>
      <c r="E232" s="253"/>
      <c r="F232" s="254"/>
      <c r="G232" s="3"/>
    </row>
    <row r="233" spans="1:7" s="44" customFormat="1" x14ac:dyDescent="0.3">
      <c r="A233" s="45" t="s">
        <v>15</v>
      </c>
      <c r="B233" s="46">
        <v>1</v>
      </c>
      <c r="C233" s="136" t="str">
        <f t="shared" ref="C233:C239" si="19" xml:space="preserve"> IF(B233="","",setValueToTime(B233))</f>
        <v>0h5min</v>
      </c>
      <c r="D233" s="202" t="s">
        <v>218</v>
      </c>
      <c r="E233" s="255"/>
      <c r="F233" s="256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55"/>
      <c r="F234" s="256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55"/>
      <c r="F235" s="256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55"/>
      <c r="F236" s="256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55"/>
      <c r="F237" s="256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55"/>
      <c r="F238" s="256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7"/>
      <c r="F239" s="258"/>
      <c r="G239" s="3"/>
    </row>
    <row r="240" spans="1:7" s="44" customFormat="1" ht="15" thickBot="1" x14ac:dyDescent="0.35">
      <c r="A240" s="145" t="s">
        <v>28</v>
      </c>
      <c r="B240" s="68">
        <f>SUM(B232:B239)</f>
        <v>50</v>
      </c>
      <c r="C240" s="145" t="str">
        <f xml:space="preserve"> setValueToTime(B240)</f>
        <v>4h10min</v>
      </c>
      <c r="D240" s="200" t="s">
        <v>174</v>
      </c>
      <c r="E240" s="259"/>
      <c r="F240" s="260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7</v>
      </c>
      <c r="C242" s="147"/>
      <c r="D242" s="140" t="s">
        <v>14</v>
      </c>
      <c r="E242" s="141" t="s">
        <v>72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1" t="s">
        <v>13</v>
      </c>
      <c r="F243" s="262"/>
      <c r="G243" s="39"/>
    </row>
    <row r="244" spans="1:7" s="44" customFormat="1" ht="27" x14ac:dyDescent="0.3">
      <c r="A244" s="41" t="s">
        <v>16</v>
      </c>
      <c r="B244" s="42">
        <v>2</v>
      </c>
      <c r="C244" s="135" t="str">
        <f xml:space="preserve"> IF(B244="","",setValueToTime(B244))</f>
        <v>0h10min</v>
      </c>
      <c r="D244" s="214" t="s">
        <v>212</v>
      </c>
      <c r="E244" s="253"/>
      <c r="F244" s="254"/>
      <c r="G244" s="3"/>
    </row>
    <row r="245" spans="1:7" s="44" customFormat="1" ht="27" x14ac:dyDescent="0.3">
      <c r="A245" s="45" t="s">
        <v>85</v>
      </c>
      <c r="B245" s="46">
        <v>13</v>
      </c>
      <c r="C245" s="136" t="str">
        <f xml:space="preserve"> IF(B245="","",setValueToTime(B245))</f>
        <v>1h5min</v>
      </c>
      <c r="D245" s="47" t="s">
        <v>211</v>
      </c>
      <c r="E245" s="255"/>
      <c r="F245" s="256"/>
      <c r="G245" s="3"/>
    </row>
    <row r="246" spans="1:7" s="44" customFormat="1" ht="27" x14ac:dyDescent="0.3">
      <c r="A246" s="45" t="s">
        <v>85</v>
      </c>
      <c r="B246" s="46">
        <v>19</v>
      </c>
      <c r="C246" s="136" t="str">
        <f t="shared" ref="C246" si="20" xml:space="preserve"> IF(B246="","",setValueToTime(B246))</f>
        <v>1h35min</v>
      </c>
      <c r="D246" s="202" t="s">
        <v>214</v>
      </c>
      <c r="E246" s="263" t="s">
        <v>213</v>
      </c>
      <c r="F246" s="256"/>
      <c r="G246" s="3"/>
    </row>
    <row r="247" spans="1:7" s="44" customFormat="1" x14ac:dyDescent="0.3">
      <c r="A247" s="45" t="s">
        <v>89</v>
      </c>
      <c r="B247" s="46">
        <v>3</v>
      </c>
      <c r="C247" s="136" t="str">
        <f t="shared" ref="C247:C251" si="21" xml:space="preserve"> IF(B247="","",setValueToTime(B247))</f>
        <v>0h15min</v>
      </c>
      <c r="D247" s="202" t="s">
        <v>215</v>
      </c>
      <c r="E247" s="255"/>
      <c r="F247" s="256"/>
      <c r="G247" s="3"/>
    </row>
    <row r="248" spans="1:7" s="44" customFormat="1" x14ac:dyDescent="0.3">
      <c r="A248" s="46" t="s">
        <v>15</v>
      </c>
      <c r="B248" s="46">
        <v>2</v>
      </c>
      <c r="C248" s="137" t="str">
        <f t="shared" si="21"/>
        <v>0h10min</v>
      </c>
      <c r="D248" s="202" t="s">
        <v>208</v>
      </c>
      <c r="E248" s="255"/>
      <c r="F248" s="256"/>
      <c r="G248" s="3"/>
    </row>
    <row r="249" spans="1:7" s="44" customFormat="1" x14ac:dyDescent="0.3">
      <c r="A249" s="46" t="s">
        <v>89</v>
      </c>
      <c r="B249" s="46">
        <v>1</v>
      </c>
      <c r="C249" s="137" t="str">
        <f t="shared" si="21"/>
        <v>0h5min</v>
      </c>
      <c r="D249" s="202" t="s">
        <v>216</v>
      </c>
      <c r="E249" s="255"/>
      <c r="F249" s="256"/>
      <c r="G249" s="3"/>
    </row>
    <row r="250" spans="1:7" s="44" customFormat="1" x14ac:dyDescent="0.3">
      <c r="A250" s="46"/>
      <c r="B250" s="46"/>
      <c r="C250" s="137" t="str">
        <f t="shared" si="21"/>
        <v/>
      </c>
      <c r="D250" s="47"/>
      <c r="E250" s="255"/>
      <c r="F250" s="256"/>
      <c r="G250" s="3"/>
    </row>
    <row r="251" spans="1:7" s="44" customFormat="1" ht="15" thickBot="1" x14ac:dyDescent="0.35">
      <c r="A251" s="48"/>
      <c r="B251" s="48"/>
      <c r="C251" s="138" t="str">
        <f t="shared" si="21"/>
        <v/>
      </c>
      <c r="D251" s="49"/>
      <c r="E251" s="257"/>
      <c r="F251" s="258"/>
      <c r="G251" s="3"/>
    </row>
    <row r="252" spans="1:7" s="44" customFormat="1" ht="15" thickBot="1" x14ac:dyDescent="0.35">
      <c r="A252" s="145" t="s">
        <v>28</v>
      </c>
      <c r="B252" s="68">
        <f>SUM(B244:B251)</f>
        <v>40</v>
      </c>
      <c r="C252" s="145" t="str">
        <f xml:space="preserve"> setValueToTime(B252)</f>
        <v>3h20min</v>
      </c>
      <c r="D252" s="200" t="s">
        <v>176</v>
      </c>
      <c r="E252" s="259"/>
      <c r="F252" s="260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6</v>
      </c>
      <c r="C254" s="147"/>
      <c r="D254" s="140" t="s">
        <v>14</v>
      </c>
      <c r="E254" s="141" t="s">
        <v>72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1" t="s">
        <v>13</v>
      </c>
      <c r="F255" s="262"/>
      <c r="G255" s="39"/>
    </row>
    <row r="256" spans="1:7" s="44" customFormat="1" ht="27" x14ac:dyDescent="0.3">
      <c r="A256" s="41" t="s">
        <v>16</v>
      </c>
      <c r="B256" s="42">
        <v>1</v>
      </c>
      <c r="C256" s="135" t="str">
        <f xml:space="preserve"> IF(B256="","",setValueToTime(B256))</f>
        <v>0h5min</v>
      </c>
      <c r="D256" s="214" t="s">
        <v>208</v>
      </c>
      <c r="E256" s="253"/>
      <c r="F256" s="254"/>
      <c r="G256" s="3"/>
    </row>
    <row r="257" spans="1:7" s="44" customFormat="1" ht="27" x14ac:dyDescent="0.3">
      <c r="A257" s="45" t="s">
        <v>84</v>
      </c>
      <c r="B257" s="46">
        <v>4</v>
      </c>
      <c r="C257" s="136" t="str">
        <f t="shared" ref="C257:C263" si="22" xml:space="preserve"> IF(B257="","",setValueToTime(B257))</f>
        <v>0h20min</v>
      </c>
      <c r="D257" s="202" t="s">
        <v>209</v>
      </c>
      <c r="E257" s="255"/>
      <c r="F257" s="256"/>
      <c r="G257" s="3"/>
    </row>
    <row r="258" spans="1:7" s="44" customFormat="1" ht="27" x14ac:dyDescent="0.3">
      <c r="A258" s="45" t="s">
        <v>85</v>
      </c>
      <c r="B258" s="46">
        <v>45</v>
      </c>
      <c r="C258" s="136" t="str">
        <f t="shared" si="22"/>
        <v>3h45min</v>
      </c>
      <c r="D258" s="202" t="s">
        <v>210</v>
      </c>
      <c r="E258" s="255"/>
      <c r="F258" s="256"/>
      <c r="G258" s="3"/>
    </row>
    <row r="259" spans="1:7" s="44" customFormat="1" x14ac:dyDescent="0.3">
      <c r="A259" s="45"/>
      <c r="B259" s="46"/>
      <c r="C259" s="136" t="str">
        <f t="shared" si="22"/>
        <v/>
      </c>
      <c r="D259" s="47"/>
      <c r="E259" s="255"/>
      <c r="F259" s="256"/>
      <c r="G259" s="3"/>
    </row>
    <row r="260" spans="1:7" s="44" customFormat="1" x14ac:dyDescent="0.3">
      <c r="A260" s="46"/>
      <c r="B260" s="46"/>
      <c r="C260" s="137" t="str">
        <f t="shared" si="22"/>
        <v/>
      </c>
      <c r="D260" s="47"/>
      <c r="E260" s="255"/>
      <c r="F260" s="256"/>
      <c r="G260" s="3"/>
    </row>
    <row r="261" spans="1:7" s="44" customFormat="1" x14ac:dyDescent="0.3">
      <c r="A261" s="46"/>
      <c r="B261" s="46"/>
      <c r="C261" s="137" t="str">
        <f t="shared" si="22"/>
        <v/>
      </c>
      <c r="D261" s="47"/>
      <c r="E261" s="255"/>
      <c r="F261" s="256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55"/>
      <c r="F262" s="256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7"/>
      <c r="F263" s="258"/>
      <c r="G263" s="3"/>
    </row>
    <row r="264" spans="1:7" s="44" customFormat="1" ht="15" thickBot="1" x14ac:dyDescent="0.35">
      <c r="A264" s="145" t="s">
        <v>28</v>
      </c>
      <c r="B264" s="68">
        <f>SUM(B256:B263)</f>
        <v>50</v>
      </c>
      <c r="C264" s="145" t="str">
        <f xml:space="preserve"> setValueToTime(B264)</f>
        <v>4h10min</v>
      </c>
      <c r="D264" s="200" t="s">
        <v>174</v>
      </c>
      <c r="E264" s="259"/>
      <c r="F264" s="260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5</v>
      </c>
      <c r="C266" s="147"/>
      <c r="D266" s="140" t="s">
        <v>14</v>
      </c>
      <c r="E266" s="141" t="s">
        <v>73</v>
      </c>
      <c r="F266" s="142" t="s">
        <v>46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1" t="s">
        <v>13</v>
      </c>
      <c r="F267" s="262"/>
      <c r="G267" s="39"/>
    </row>
    <row r="268" spans="1:7" s="44" customFormat="1" ht="27" x14ac:dyDescent="0.3">
      <c r="A268" s="41" t="s">
        <v>82</v>
      </c>
      <c r="B268" s="42">
        <v>13</v>
      </c>
      <c r="C268" s="135" t="str">
        <f xml:space="preserve"> IF(B268="","",setValueToTime(B268))</f>
        <v>1h5min</v>
      </c>
      <c r="D268" s="214" t="s">
        <v>200</v>
      </c>
      <c r="E268" s="264" t="s">
        <v>199</v>
      </c>
      <c r="F268" s="254"/>
      <c r="G268" s="3"/>
    </row>
    <row r="269" spans="1:7" s="44" customFormat="1" ht="27" x14ac:dyDescent="0.3">
      <c r="A269" s="45" t="s">
        <v>15</v>
      </c>
      <c r="B269" s="46">
        <v>6</v>
      </c>
      <c r="C269" s="136" t="str">
        <f t="shared" ref="C269:C275" si="23" xml:space="preserve"> IF(B269="","",setValueToTime(B269))</f>
        <v>0h30min</v>
      </c>
      <c r="D269" s="202" t="s">
        <v>201</v>
      </c>
      <c r="E269" s="255"/>
      <c r="F269" s="256"/>
      <c r="G269" s="3"/>
    </row>
    <row r="270" spans="1:7" s="44" customFormat="1" x14ac:dyDescent="0.3">
      <c r="A270" s="45" t="s">
        <v>89</v>
      </c>
      <c r="B270" s="46">
        <v>3</v>
      </c>
      <c r="C270" s="136" t="str">
        <f t="shared" si="23"/>
        <v>0h15min</v>
      </c>
      <c r="D270" s="202" t="s">
        <v>202</v>
      </c>
      <c r="E270" s="255"/>
      <c r="F270" s="256"/>
      <c r="G270" s="3"/>
    </row>
    <row r="271" spans="1:7" s="44" customFormat="1" ht="30" customHeight="1" x14ac:dyDescent="0.3">
      <c r="A271" s="45" t="s">
        <v>89</v>
      </c>
      <c r="B271" s="46">
        <v>3</v>
      </c>
      <c r="C271" s="136" t="str">
        <f t="shared" si="23"/>
        <v>0h15min</v>
      </c>
      <c r="D271" s="202" t="s">
        <v>203</v>
      </c>
      <c r="E271" s="263" t="s">
        <v>204</v>
      </c>
      <c r="F271" s="256"/>
      <c r="G271" s="3"/>
    </row>
    <row r="272" spans="1:7" s="44" customFormat="1" ht="27" x14ac:dyDescent="0.3">
      <c r="A272" s="46" t="s">
        <v>83</v>
      </c>
      <c r="B272" s="46">
        <v>4</v>
      </c>
      <c r="C272" s="137" t="str">
        <f t="shared" si="23"/>
        <v>0h20min</v>
      </c>
      <c r="D272" s="202" t="s">
        <v>205</v>
      </c>
      <c r="E272" s="255"/>
      <c r="F272" s="256"/>
      <c r="G272" s="3"/>
    </row>
    <row r="273" spans="1:7" s="44" customFormat="1" ht="54" x14ac:dyDescent="0.3">
      <c r="A273" s="46" t="s">
        <v>88</v>
      </c>
      <c r="B273" s="46">
        <v>5</v>
      </c>
      <c r="C273" s="137" t="str">
        <f t="shared" si="23"/>
        <v>0h25min</v>
      </c>
      <c r="D273" s="202" t="s">
        <v>206</v>
      </c>
      <c r="E273" s="255"/>
      <c r="F273" s="256"/>
      <c r="G273" s="3"/>
    </row>
    <row r="274" spans="1:7" s="44" customFormat="1" ht="27" x14ac:dyDescent="0.3">
      <c r="A274" s="46" t="s">
        <v>84</v>
      </c>
      <c r="B274" s="46">
        <v>6</v>
      </c>
      <c r="C274" s="137" t="str">
        <f t="shared" si="23"/>
        <v>0h30min</v>
      </c>
      <c r="D274" s="202" t="s">
        <v>207</v>
      </c>
      <c r="E274" s="255"/>
      <c r="F274" s="256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7"/>
      <c r="F275" s="258"/>
      <c r="G275" s="3"/>
    </row>
    <row r="276" spans="1:7" s="44" customFormat="1" ht="15" thickBot="1" x14ac:dyDescent="0.35">
      <c r="A276" s="145" t="s">
        <v>28</v>
      </c>
      <c r="B276" s="68">
        <f>SUM(B268:B275)</f>
        <v>40</v>
      </c>
      <c r="C276" s="145" t="str">
        <f xml:space="preserve"> setValueToTime(B276)</f>
        <v>3h20min</v>
      </c>
      <c r="D276" s="200" t="s">
        <v>176</v>
      </c>
      <c r="E276" s="259"/>
      <c r="F276" s="260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4</v>
      </c>
      <c r="C278" s="147"/>
      <c r="D278" s="140" t="s">
        <v>14</v>
      </c>
      <c r="E278" s="141" t="s">
        <v>74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1" t="s">
        <v>13</v>
      </c>
      <c r="F279" s="262"/>
      <c r="G279" s="39"/>
    </row>
    <row r="280" spans="1:7" s="44" customFormat="1" ht="27" x14ac:dyDescent="0.3">
      <c r="A280" s="41" t="s">
        <v>82</v>
      </c>
      <c r="B280" s="42">
        <v>6</v>
      </c>
      <c r="C280" s="135" t="str">
        <f xml:space="preserve"> IF(B280="","",setValueToTime(B280))</f>
        <v>0h30min</v>
      </c>
      <c r="D280" s="43" t="s">
        <v>191</v>
      </c>
      <c r="E280" s="253"/>
      <c r="F280" s="254"/>
      <c r="G280" s="3"/>
    </row>
    <row r="281" spans="1:7" s="44" customFormat="1" ht="27" x14ac:dyDescent="0.3">
      <c r="A281" s="45" t="s">
        <v>83</v>
      </c>
      <c r="B281" s="46">
        <v>13</v>
      </c>
      <c r="C281" s="136" t="str">
        <f t="shared" ref="C281:C287" si="24" xml:space="preserve"> IF(B281="","",setValueToTime(B281))</f>
        <v>1h5min</v>
      </c>
      <c r="D281" s="47" t="s">
        <v>193</v>
      </c>
      <c r="E281" s="255"/>
      <c r="F281" s="256"/>
      <c r="G281" s="3"/>
    </row>
    <row r="282" spans="1:7" s="44" customFormat="1" ht="27" x14ac:dyDescent="0.3">
      <c r="A282" s="45" t="s">
        <v>83</v>
      </c>
      <c r="B282" s="46">
        <v>3</v>
      </c>
      <c r="C282" s="136" t="str">
        <f t="shared" si="24"/>
        <v>0h15min</v>
      </c>
      <c r="D282" s="47" t="s">
        <v>192</v>
      </c>
      <c r="E282" s="255"/>
      <c r="F282" s="256"/>
      <c r="G282" s="3"/>
    </row>
    <row r="283" spans="1:7" s="44" customFormat="1" ht="27" x14ac:dyDescent="0.3">
      <c r="A283" s="45" t="s">
        <v>89</v>
      </c>
      <c r="B283" s="46">
        <v>1</v>
      </c>
      <c r="C283" s="136" t="str">
        <f t="shared" si="24"/>
        <v>0h5min</v>
      </c>
      <c r="D283" s="47" t="s">
        <v>195</v>
      </c>
      <c r="E283" s="263" t="s">
        <v>194</v>
      </c>
      <c r="F283" s="256"/>
      <c r="G283" s="3"/>
    </row>
    <row r="284" spans="1:7" s="44" customFormat="1" ht="27" x14ac:dyDescent="0.3">
      <c r="A284" s="46" t="s">
        <v>89</v>
      </c>
      <c r="B284" s="46">
        <v>1</v>
      </c>
      <c r="C284" s="137" t="str">
        <f t="shared" si="24"/>
        <v>0h5min</v>
      </c>
      <c r="D284" s="47" t="s">
        <v>197</v>
      </c>
      <c r="E284" s="263" t="s">
        <v>196</v>
      </c>
      <c r="F284" s="256"/>
      <c r="G284" s="3"/>
    </row>
    <row r="285" spans="1:7" s="44" customFormat="1" ht="27" x14ac:dyDescent="0.3">
      <c r="A285" s="46" t="s">
        <v>82</v>
      </c>
      <c r="B285" s="46">
        <v>16</v>
      </c>
      <c r="C285" s="137" t="str">
        <f t="shared" si="24"/>
        <v>1h20min</v>
      </c>
      <c r="D285" s="47" t="s">
        <v>198</v>
      </c>
      <c r="E285" s="255"/>
      <c r="F285" s="256"/>
      <c r="G285" s="3"/>
    </row>
    <row r="286" spans="1:7" s="44" customFormat="1" x14ac:dyDescent="0.3">
      <c r="A286" s="46"/>
      <c r="B286" s="46"/>
      <c r="C286" s="137" t="str">
        <f t="shared" si="24"/>
        <v/>
      </c>
      <c r="D286" s="47"/>
      <c r="E286" s="255"/>
      <c r="F286" s="256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7"/>
      <c r="F287" s="258"/>
      <c r="G287" s="3"/>
    </row>
    <row r="288" spans="1:7" s="44" customFormat="1" ht="15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176</v>
      </c>
      <c r="E288" s="259"/>
      <c r="F288" s="260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3</v>
      </c>
      <c r="C290" s="147"/>
      <c r="D290" s="140" t="s">
        <v>14</v>
      </c>
      <c r="E290" s="141" t="s">
        <v>74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1" t="s">
        <v>13</v>
      </c>
      <c r="F291" s="262"/>
      <c r="G291" s="39"/>
    </row>
    <row r="292" spans="1:7" s="44" customFormat="1" x14ac:dyDescent="0.3">
      <c r="A292" s="41" t="s">
        <v>4</v>
      </c>
      <c r="B292" s="42">
        <v>36</v>
      </c>
      <c r="C292" s="135" t="str">
        <f xml:space="preserve"> IF(B292="","",setValueToTime(B292))</f>
        <v>3h</v>
      </c>
      <c r="D292" s="43" t="s">
        <v>190</v>
      </c>
      <c r="E292" s="253"/>
      <c r="F292" s="254"/>
      <c r="G292" s="3"/>
    </row>
    <row r="293" spans="1:7" s="44" customFormat="1" x14ac:dyDescent="0.3">
      <c r="A293" s="45"/>
      <c r="B293" s="46"/>
      <c r="C293" s="136" t="str">
        <f t="shared" ref="C293:C299" si="25" xml:space="preserve"> IF(B293="","",setValueToTime(B293))</f>
        <v/>
      </c>
      <c r="D293" s="47"/>
      <c r="E293" s="255"/>
      <c r="F293" s="256"/>
      <c r="G293" s="3"/>
    </row>
    <row r="294" spans="1:7" s="44" customFormat="1" x14ac:dyDescent="0.3">
      <c r="A294" s="45"/>
      <c r="B294" s="46"/>
      <c r="C294" s="136" t="str">
        <f t="shared" si="25"/>
        <v/>
      </c>
      <c r="D294" s="47"/>
      <c r="E294" s="255"/>
      <c r="F294" s="256"/>
      <c r="G294" s="3"/>
    </row>
    <row r="295" spans="1:7" s="44" customFormat="1" x14ac:dyDescent="0.3">
      <c r="A295" s="45"/>
      <c r="B295" s="46"/>
      <c r="C295" s="136" t="str">
        <f t="shared" si="25"/>
        <v/>
      </c>
      <c r="D295" s="47"/>
      <c r="E295" s="255"/>
      <c r="F295" s="256"/>
      <c r="G295" s="3"/>
    </row>
    <row r="296" spans="1:7" s="44" customFormat="1" x14ac:dyDescent="0.3">
      <c r="A296" s="46"/>
      <c r="B296" s="46"/>
      <c r="C296" s="137" t="str">
        <f t="shared" si="25"/>
        <v/>
      </c>
      <c r="D296" s="47"/>
      <c r="E296" s="255"/>
      <c r="F296" s="256"/>
      <c r="G296" s="3"/>
    </row>
    <row r="297" spans="1:7" s="44" customFormat="1" x14ac:dyDescent="0.3">
      <c r="A297" s="46"/>
      <c r="B297" s="46"/>
      <c r="C297" s="137" t="str">
        <f t="shared" si="25"/>
        <v/>
      </c>
      <c r="D297" s="47"/>
      <c r="E297" s="255"/>
      <c r="F297" s="256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55"/>
      <c r="F298" s="256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7"/>
      <c r="F299" s="258"/>
      <c r="G299" s="3"/>
    </row>
    <row r="300" spans="1:7" s="44" customFormat="1" ht="15" thickBot="1" x14ac:dyDescent="0.35">
      <c r="A300" s="145" t="s">
        <v>28</v>
      </c>
      <c r="B300" s="68">
        <f>SUM(B292:B299)</f>
        <v>36</v>
      </c>
      <c r="C300" s="145" t="str">
        <f xml:space="preserve"> setValueToTime(B300)</f>
        <v>3h</v>
      </c>
      <c r="D300" s="105" t="s">
        <v>112</v>
      </c>
      <c r="E300" s="259"/>
      <c r="F300" s="260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2</v>
      </c>
      <c r="C302" s="147"/>
      <c r="D302" s="140" t="s">
        <v>14</v>
      </c>
      <c r="E302" s="141" t="s">
        <v>75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1" t="s">
        <v>13</v>
      </c>
      <c r="F303" s="262"/>
      <c r="G303" s="39"/>
    </row>
    <row r="304" spans="1:7" s="44" customFormat="1" x14ac:dyDescent="0.3">
      <c r="A304" s="41" t="s">
        <v>89</v>
      </c>
      <c r="B304" s="42">
        <v>4</v>
      </c>
      <c r="C304" s="135" t="str">
        <f xml:space="preserve"> IF(B304="","",setValueToTime(B304))</f>
        <v>0h20min</v>
      </c>
      <c r="D304" s="43" t="s">
        <v>155</v>
      </c>
      <c r="E304" s="253"/>
      <c r="F304" s="254"/>
      <c r="G304" s="3"/>
    </row>
    <row r="305" spans="1:7" s="44" customFormat="1" ht="27" x14ac:dyDescent="0.3">
      <c r="A305" s="197" t="s">
        <v>93</v>
      </c>
      <c r="B305" s="198">
        <v>2</v>
      </c>
      <c r="C305" s="136" t="str">
        <f t="shared" ref="C305:C312" si="26" xml:space="preserve"> IF(B305="","",setValueToTime(B305))</f>
        <v>0h10min</v>
      </c>
      <c r="D305" s="199" t="s">
        <v>160</v>
      </c>
      <c r="E305" s="263" t="s">
        <v>161</v>
      </c>
      <c r="F305" s="256"/>
      <c r="G305" s="3"/>
    </row>
    <row r="306" spans="1:7" s="44" customFormat="1" ht="27" x14ac:dyDescent="0.3">
      <c r="A306" s="197" t="s">
        <v>91</v>
      </c>
      <c r="B306" s="198">
        <v>12</v>
      </c>
      <c r="C306" s="136" t="str">
        <f t="shared" si="26"/>
        <v>1h</v>
      </c>
      <c r="D306" s="199" t="s">
        <v>163</v>
      </c>
      <c r="E306" s="263" t="s">
        <v>164</v>
      </c>
      <c r="F306" s="256"/>
      <c r="G306" s="3"/>
    </row>
    <row r="307" spans="1:7" s="44" customFormat="1" ht="27" x14ac:dyDescent="0.3">
      <c r="A307" s="45" t="s">
        <v>31</v>
      </c>
      <c r="B307" s="46">
        <v>4</v>
      </c>
      <c r="C307" s="136" t="str">
        <f t="shared" si="26"/>
        <v>0h20min</v>
      </c>
      <c r="D307" s="202" t="s">
        <v>181</v>
      </c>
      <c r="E307" s="255"/>
      <c r="F307" s="256"/>
      <c r="G307" s="3"/>
    </row>
    <row r="308" spans="1:7" s="44" customFormat="1" ht="40.5" x14ac:dyDescent="0.3">
      <c r="A308" s="45" t="s">
        <v>94</v>
      </c>
      <c r="B308" s="46">
        <v>8</v>
      </c>
      <c r="C308" s="136" t="str">
        <f t="shared" si="26"/>
        <v>0h40min</v>
      </c>
      <c r="D308" s="202" t="s">
        <v>182</v>
      </c>
      <c r="E308" s="265" t="s">
        <v>183</v>
      </c>
      <c r="F308" s="256"/>
      <c r="G308" s="3"/>
    </row>
    <row r="309" spans="1:7" s="44" customFormat="1" x14ac:dyDescent="0.3">
      <c r="A309" s="45"/>
      <c r="B309" s="46"/>
      <c r="C309" s="136" t="str">
        <f t="shared" si="26"/>
        <v/>
      </c>
      <c r="D309" s="47"/>
      <c r="E309" s="255"/>
      <c r="F309" s="256"/>
      <c r="G309" s="3"/>
    </row>
    <row r="310" spans="1:7" s="44" customFormat="1" x14ac:dyDescent="0.3">
      <c r="A310" s="46"/>
      <c r="B310" s="46"/>
      <c r="C310" s="136" t="str">
        <f t="shared" si="26"/>
        <v/>
      </c>
      <c r="D310" s="47"/>
      <c r="E310" s="255"/>
      <c r="F310" s="256"/>
      <c r="G310" s="3"/>
    </row>
    <row r="311" spans="1:7" s="44" customFormat="1" x14ac:dyDescent="0.3">
      <c r="A311" s="46"/>
      <c r="B311" s="46"/>
      <c r="C311" s="136" t="str">
        <f t="shared" si="26"/>
        <v/>
      </c>
      <c r="D311" s="47"/>
      <c r="E311" s="255"/>
      <c r="F311" s="256"/>
      <c r="G311" s="3"/>
    </row>
    <row r="312" spans="1:7" s="44" customFormat="1" x14ac:dyDescent="0.3">
      <c r="A312" s="46"/>
      <c r="B312" s="46"/>
      <c r="C312" s="136" t="str">
        <f t="shared" si="26"/>
        <v/>
      </c>
      <c r="D312" s="47"/>
      <c r="E312" s="255"/>
      <c r="F312" s="256"/>
      <c r="G312" s="3"/>
    </row>
    <row r="313" spans="1:7" s="44" customFormat="1" ht="15" thickBot="1" x14ac:dyDescent="0.35">
      <c r="A313" s="48"/>
      <c r="B313" s="48"/>
      <c r="C313" s="138" t="str">
        <f t="shared" ref="C313" si="27" xml:space="preserve"> IF(B313="","",setValueToTime(B313))</f>
        <v/>
      </c>
      <c r="D313" s="49"/>
      <c r="E313" s="257"/>
      <c r="F313" s="258"/>
      <c r="G313" s="3"/>
    </row>
    <row r="314" spans="1:7" s="44" customFormat="1" ht="15" thickBot="1" x14ac:dyDescent="0.35">
      <c r="A314" s="145" t="s">
        <v>28</v>
      </c>
      <c r="B314" s="68">
        <f>SUM(B304:B313)</f>
        <v>30</v>
      </c>
      <c r="C314" s="145" t="str">
        <f xml:space="preserve"> setValueToTime(B314)</f>
        <v>2h30min</v>
      </c>
      <c r="D314" s="105" t="s">
        <v>175</v>
      </c>
      <c r="E314" s="259"/>
      <c r="F314" s="260"/>
      <c r="G314" s="3"/>
    </row>
    <row r="315" spans="1:7" s="44" customFormat="1" ht="15" thickBot="1" x14ac:dyDescent="0.35">
      <c r="A315" s="62"/>
      <c r="B315" s="62"/>
      <c r="C315" s="62"/>
      <c r="D315" s="62"/>
      <c r="E315" s="62"/>
      <c r="F315" s="62"/>
      <c r="G315" s="3"/>
    </row>
    <row r="316" spans="1:7" s="40" customFormat="1" ht="30" customHeight="1" thickBot="1" x14ac:dyDescent="0.3">
      <c r="A316" s="139" t="s">
        <v>11</v>
      </c>
      <c r="B316" s="147">
        <v>1</v>
      </c>
      <c r="C316" s="147"/>
      <c r="D316" s="140" t="s">
        <v>14</v>
      </c>
      <c r="E316" s="141" t="s">
        <v>75</v>
      </c>
      <c r="F316" s="142" t="s">
        <v>47</v>
      </c>
      <c r="G316" s="39"/>
    </row>
    <row r="317" spans="1:7" s="40" customFormat="1" ht="30" customHeight="1" thickBot="1" x14ac:dyDescent="0.3">
      <c r="A317" s="63" t="s">
        <v>5</v>
      </c>
      <c r="B317" s="144" t="s">
        <v>40</v>
      </c>
      <c r="C317" s="143"/>
      <c r="D317" s="63" t="s">
        <v>12</v>
      </c>
      <c r="E317" s="261" t="s">
        <v>13</v>
      </c>
      <c r="F317" s="262"/>
      <c r="G317" s="39"/>
    </row>
    <row r="318" spans="1:7" s="44" customFormat="1" ht="27" x14ac:dyDescent="0.3">
      <c r="A318" s="41" t="s">
        <v>45</v>
      </c>
      <c r="B318" s="42">
        <v>4</v>
      </c>
      <c r="C318" s="135" t="str">
        <f xml:space="preserve"> IF(B318="","",setValueToTime(B318))</f>
        <v>0h20min</v>
      </c>
      <c r="D318" s="43" t="s">
        <v>147</v>
      </c>
      <c r="E318" s="253"/>
      <c r="F318" s="254"/>
      <c r="G318" s="3"/>
    </row>
    <row r="319" spans="1:7" s="44" customFormat="1" ht="27" x14ac:dyDescent="0.3">
      <c r="A319" s="45" t="s">
        <v>31</v>
      </c>
      <c r="B319" s="46">
        <v>25</v>
      </c>
      <c r="C319" s="136" t="str">
        <f t="shared" ref="C319:C327" si="28" xml:space="preserve"> IF(B319="","",setValueToTime(B319))</f>
        <v>2h5min</v>
      </c>
      <c r="D319" s="47" t="s">
        <v>148</v>
      </c>
      <c r="E319" s="255"/>
      <c r="F319" s="256"/>
      <c r="G319" s="3"/>
    </row>
    <row r="320" spans="1:7" s="44" customFormat="1" ht="27" x14ac:dyDescent="0.3">
      <c r="A320" s="45" t="s">
        <v>44</v>
      </c>
      <c r="B320" s="46">
        <v>1</v>
      </c>
      <c r="C320" s="136" t="str">
        <f t="shared" si="28"/>
        <v>0h5min</v>
      </c>
      <c r="D320" s="47" t="s">
        <v>149</v>
      </c>
      <c r="E320" s="255"/>
      <c r="F320" s="256"/>
      <c r="G320" s="3"/>
    </row>
    <row r="321" spans="1:7" s="44" customFormat="1" ht="58.5" customHeight="1" x14ac:dyDescent="0.3">
      <c r="A321" s="45" t="s">
        <v>89</v>
      </c>
      <c r="B321" s="46">
        <v>4</v>
      </c>
      <c r="C321" s="136" t="str">
        <f t="shared" si="28"/>
        <v>0h20min</v>
      </c>
      <c r="D321" s="47" t="s">
        <v>150</v>
      </c>
      <c r="E321" s="255" t="s">
        <v>162</v>
      </c>
      <c r="F321" s="256"/>
      <c r="G321" s="3"/>
    </row>
    <row r="322" spans="1:7" s="44" customFormat="1" x14ac:dyDescent="0.3">
      <c r="A322" s="46" t="s">
        <v>92</v>
      </c>
      <c r="B322" s="46">
        <v>4</v>
      </c>
      <c r="C322" s="137" t="str">
        <f t="shared" si="28"/>
        <v>0h20min</v>
      </c>
      <c r="D322" s="47" t="s">
        <v>153</v>
      </c>
      <c r="E322" s="255" t="s">
        <v>157</v>
      </c>
      <c r="F322" s="256"/>
      <c r="G322" s="3"/>
    </row>
    <row r="323" spans="1:7" s="44" customFormat="1" ht="27" x14ac:dyDescent="0.3">
      <c r="A323" s="46" t="s">
        <v>31</v>
      </c>
      <c r="B323" s="46">
        <v>4</v>
      </c>
      <c r="C323" s="137" t="str">
        <f t="shared" si="28"/>
        <v>0h20min</v>
      </c>
      <c r="D323" s="47" t="s">
        <v>154</v>
      </c>
      <c r="E323" s="255"/>
      <c r="F323" s="256"/>
      <c r="G323" s="3"/>
    </row>
    <row r="324" spans="1:7" s="44" customFormat="1" ht="27" x14ac:dyDescent="0.3">
      <c r="A324" s="46" t="s">
        <v>93</v>
      </c>
      <c r="B324" s="46">
        <v>4</v>
      </c>
      <c r="C324" s="137" t="str">
        <f t="shared" si="28"/>
        <v>0h20min</v>
      </c>
      <c r="D324" s="47" t="s">
        <v>159</v>
      </c>
      <c r="E324" s="255" t="s">
        <v>158</v>
      </c>
      <c r="F324" s="256"/>
      <c r="G324" s="3"/>
    </row>
    <row r="325" spans="1:7" s="44" customFormat="1" x14ac:dyDescent="0.3">
      <c r="A325" s="187" t="s">
        <v>89</v>
      </c>
      <c r="B325" s="187">
        <v>4</v>
      </c>
      <c r="C325" s="188"/>
      <c r="D325" s="203" t="s">
        <v>184</v>
      </c>
      <c r="E325" s="190"/>
      <c r="F325" s="191"/>
      <c r="G325" s="3"/>
    </row>
    <row r="326" spans="1:7" s="44" customFormat="1" x14ac:dyDescent="0.3">
      <c r="A326" s="187"/>
      <c r="B326" s="187"/>
      <c r="C326" s="188"/>
      <c r="D326" s="189"/>
      <c r="E326" s="190"/>
      <c r="F326" s="191"/>
      <c r="G326" s="3"/>
    </row>
    <row r="327" spans="1:7" s="44" customFormat="1" ht="15" thickBot="1" x14ac:dyDescent="0.35">
      <c r="A327" s="48"/>
      <c r="B327" s="48"/>
      <c r="C327" s="138" t="str">
        <f t="shared" si="28"/>
        <v/>
      </c>
      <c r="D327" s="49"/>
      <c r="E327" s="257"/>
      <c r="F327" s="258"/>
      <c r="G327" s="3"/>
    </row>
    <row r="328" spans="1:7" s="44" customFormat="1" ht="15" thickBot="1" x14ac:dyDescent="0.35">
      <c r="A328" s="145" t="s">
        <v>28</v>
      </c>
      <c r="B328" s="68">
        <f>SUM(B318:B327)</f>
        <v>50</v>
      </c>
      <c r="C328" s="145" t="str">
        <f xml:space="preserve"> setValueToTime(B328)</f>
        <v>4h10min</v>
      </c>
      <c r="D328" s="105" t="s">
        <v>174</v>
      </c>
      <c r="E328" s="259"/>
      <c r="F328" s="260"/>
      <c r="G328" s="3"/>
    </row>
    <row r="329" spans="1:7" s="44" customFormat="1" x14ac:dyDescent="0.3">
      <c r="A329" s="62"/>
      <c r="B329" s="62"/>
      <c r="C329" s="62"/>
      <c r="D329" s="62"/>
      <c r="E329" s="62"/>
      <c r="F329" s="62"/>
      <c r="G329" s="3"/>
    </row>
    <row r="330" spans="1:7" s="44" customFormat="1" x14ac:dyDescent="0.3"/>
    <row r="331" spans="1:7" s="44" customFormat="1" x14ac:dyDescent="0.3"/>
    <row r="332" spans="1:7" s="44" customFormat="1" x14ac:dyDescent="0.3"/>
    <row r="333" spans="1:7" s="44" customFormat="1" x14ac:dyDescent="0.3"/>
    <row r="334" spans="1:7" s="44" customFormat="1" x14ac:dyDescent="0.3"/>
    <row r="335" spans="1:7" s="44" customFormat="1" x14ac:dyDescent="0.3"/>
    <row r="336" spans="1:7" s="44" customFormat="1" x14ac:dyDescent="0.3"/>
    <row r="337" s="44" customFormat="1" x14ac:dyDescent="0.3"/>
    <row r="338" s="44" customFormat="1" x14ac:dyDescent="0.3"/>
    <row r="339" s="44" customFormat="1" x14ac:dyDescent="0.3"/>
    <row r="340" s="44" customFormat="1" x14ac:dyDescent="0.3"/>
    <row r="341" s="44" customFormat="1" x14ac:dyDescent="0.3"/>
    <row r="342" s="44" customFormat="1" x14ac:dyDescent="0.3"/>
    <row r="343" s="44" customFormat="1" x14ac:dyDescent="0.3"/>
    <row r="344" s="44" customFormat="1" x14ac:dyDescent="0.3"/>
    <row r="345" s="44" customFormat="1" x14ac:dyDescent="0.3"/>
    <row r="346" s="44" customFormat="1" x14ac:dyDescent="0.3"/>
    <row r="347" s="44" customFormat="1" x14ac:dyDescent="0.3"/>
    <row r="348" s="44" customFormat="1" x14ac:dyDescent="0.3"/>
    <row r="349" s="44" customFormat="1" x14ac:dyDescent="0.3"/>
    <row r="350" s="44" customFormat="1" x14ac:dyDescent="0.3"/>
    <row r="351" s="44" customFormat="1" x14ac:dyDescent="0.3"/>
    <row r="352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</sheetData>
  <sheetProtection formatRows="0" insertRows="0" insertHyperlinks="0" deleteRows="0" selectLockedCells="1"/>
  <mergeCells count="272">
    <mergeCell ref="E328:F328"/>
    <mergeCell ref="E303:F303"/>
    <mergeCell ref="E304:F304"/>
    <mergeCell ref="E307:F307"/>
    <mergeCell ref="E308:F308"/>
    <mergeCell ref="E309:F309"/>
    <mergeCell ref="E310:F310"/>
    <mergeCell ref="E311:F311"/>
    <mergeCell ref="E312:F312"/>
    <mergeCell ref="E313:F313"/>
    <mergeCell ref="E314:F314"/>
    <mergeCell ref="E317:F317"/>
    <mergeCell ref="E318:F318"/>
    <mergeCell ref="E319:F319"/>
    <mergeCell ref="E320:F320"/>
    <mergeCell ref="E321:F321"/>
    <mergeCell ref="E322:F322"/>
    <mergeCell ref="E323:F323"/>
    <mergeCell ref="E324:F324"/>
    <mergeCell ref="E327:F327"/>
    <mergeCell ref="E305:F305"/>
    <mergeCell ref="E306:F306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03:F203"/>
    <mergeCell ref="E204:F204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28">
    <cfRule type="cellIs" dxfId="28" priority="31" operator="greaterThan">
      <formula>60</formula>
    </cfRule>
  </conditionalFormatting>
  <conditionalFormatting sqref="B314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2" operator="greaterThan">
      <formula>60</formula>
    </cfRule>
  </conditionalFormatting>
  <conditionalFormatting sqref="B204">
    <cfRule type="cellIs" dxfId="18" priority="20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8:B327 B304:B313 B292:B299 B280:B287 B268:B275 B256:B263 B4:B11 B232:B239 B220:B227 B208:B215 B196:B203 B184:B191 B172:B179 B160:B167 B148:B155 B136:B143 B124:B131 B112:B119 B100:B107 B88:B95 B76:B83 B64:B71 B52:B59 B40:B47 B28:B35 B16:B23 B244:B25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8 B314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18:A327 A304:A313 A292:A299 A280:A287 A268:A275 A256:A263 A4:A11 A232:A239 A220:A227 A208:A215 A196:A203 A184:A191 A172:A179 A160:A167 A148:A155 A136:A143 A124:A131 A112:A119 A100:A107 A88:A95 A76:A83 A64:A71 A52:A59 A40:A47 A28:A35 A16:A23 A244:A251" xr:uid="{84584ED4-6595-4934-96BF-FC1EEEE7C31A}">
      <formula1>ListeTaches</formula1>
    </dataValidation>
  </dataValidations>
  <hyperlinks>
    <hyperlink ref="E305" r:id="rId1" xr:uid="{1CD9E0DF-DF8F-4DEA-A392-EB84736395C3}"/>
    <hyperlink ref="E306" r:id="rId2" xr:uid="{CD68AA17-ACEE-42A2-94DE-2EAD55E2192D}"/>
    <hyperlink ref="E283" r:id="rId3" xr:uid="{AB6FEFCF-9AF1-4B92-9018-C2055B6EED6E}"/>
    <hyperlink ref="E284" r:id="rId4" xr:uid="{2E357702-494D-4646-A79B-CFB27677EB88}"/>
    <hyperlink ref="E268" r:id="rId5" location="p=display&amp;f=Graffiti&amp;t=Type%20Something%20" xr:uid="{01FEBF68-B50D-4799-ABD0-B4B9F46DC4E7}"/>
    <hyperlink ref="E271" r:id="rId6" display="https://youtubetowav.com/" xr:uid="{CEB1D811-C314-4900-BA42-94117A6F4F2D}"/>
    <hyperlink ref="E246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6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9"/>
  <legacyDrawing r:id="rId10"/>
  <controls>
    <mc:AlternateContent xmlns:mc="http://schemas.openxmlformats.org/markup-compatibility/2006">
      <mc:Choice Requires="x14">
        <control shapeId="9220" r:id="rId11" name="btnAjoutSeqJournal">
          <controlPr defaultSize="0" autoLine="0" r:id="rId12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1" name="btnAjoutSeqJournal"/>
      </mc:Fallback>
    </mc:AlternateContent>
    <mc:AlternateContent xmlns:mc="http://schemas.openxmlformats.org/markup-compatibility/2006">
      <mc:Choice Requires="x14">
        <control shapeId="9224" r:id="rId13" name="btnRapatriementJournal">
          <controlPr defaultSize="0" autoLine="0" r:id="rId14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3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7"/>
      <c r="B10" s="217"/>
      <c r="C10" s="217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217"/>
      <c r="AP10" s="217"/>
      <c r="AQ10" s="217"/>
      <c r="AR10" s="217"/>
      <c r="AS10" s="217"/>
      <c r="AT10" s="217"/>
      <c r="AU10" s="217"/>
      <c r="AV10" s="217"/>
      <c r="AW10" s="217"/>
      <c r="AX10" s="217"/>
      <c r="AY10" s="217"/>
      <c r="AZ10" s="217"/>
      <c r="BA10" s="217"/>
      <c r="BB10" s="217"/>
      <c r="BC10" s="217"/>
      <c r="BD10" s="217"/>
      <c r="BE10" s="217"/>
      <c r="BF10" s="217"/>
      <c r="BG10" s="217"/>
      <c r="BH10" s="217"/>
      <c r="BI10" s="75"/>
    </row>
    <row r="11" spans="1:61" ht="18" x14ac:dyDescent="0.25">
      <c r="A11" s="218"/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75"/>
    </row>
    <row r="12" spans="1:61" ht="18.75" thickBot="1" x14ac:dyDescent="0.3">
      <c r="A12" s="219"/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75"/>
    </row>
    <row r="13" spans="1:61" ht="18.75" thickBot="1" x14ac:dyDescent="0.3">
      <c r="A13" s="220" t="s">
        <v>11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2"/>
      <c r="BI13" s="75"/>
    </row>
    <row r="14" spans="1:61" ht="15.75" thickBot="1" x14ac:dyDescent="0.35">
      <c r="A14" s="87"/>
      <c r="B14" s="88"/>
      <c r="C14" s="88"/>
      <c r="D14" s="88"/>
      <c r="E14" s="223" t="s">
        <v>34</v>
      </c>
      <c r="F14" s="223"/>
      <c r="G14" s="223"/>
      <c r="H14" s="223"/>
      <c r="I14" s="88"/>
      <c r="J14" s="88"/>
      <c r="K14" s="224" t="s">
        <v>23</v>
      </c>
      <c r="L14" s="224"/>
      <c r="M14" s="224"/>
      <c r="N14" s="224"/>
      <c r="O14" s="112"/>
      <c r="P14" s="112"/>
      <c r="Q14" s="223" t="s">
        <v>35</v>
      </c>
      <c r="R14" s="223"/>
      <c r="S14" s="223"/>
      <c r="T14" s="223"/>
      <c r="U14" s="88"/>
      <c r="V14" s="88"/>
      <c r="W14" s="224" t="s">
        <v>24</v>
      </c>
      <c r="X14" s="224"/>
      <c r="Y14" s="224"/>
      <c r="Z14" s="224"/>
      <c r="AA14" s="112"/>
      <c r="AB14" s="112"/>
      <c r="AC14" s="223" t="s">
        <v>36</v>
      </c>
      <c r="AD14" s="223"/>
      <c r="AE14" s="223"/>
      <c r="AF14" s="223"/>
      <c r="AG14" s="88"/>
      <c r="AH14" s="88"/>
      <c r="AI14" s="224" t="s">
        <v>25</v>
      </c>
      <c r="AJ14" s="224"/>
      <c r="AK14" s="224"/>
      <c r="AL14" s="224"/>
      <c r="AM14" s="112"/>
      <c r="AN14" s="112"/>
      <c r="AO14" s="223" t="s">
        <v>37</v>
      </c>
      <c r="AP14" s="223"/>
      <c r="AQ14" s="223"/>
      <c r="AR14" s="223"/>
      <c r="AS14" s="88"/>
      <c r="AT14" s="88"/>
      <c r="AU14" s="224" t="s">
        <v>26</v>
      </c>
      <c r="AV14" s="224"/>
      <c r="AW14" s="224"/>
      <c r="AX14" s="224"/>
      <c r="AY14" s="112"/>
      <c r="AZ14" s="112"/>
      <c r="BA14" s="223" t="s">
        <v>38</v>
      </c>
      <c r="BB14" s="223"/>
      <c r="BC14" s="223"/>
      <c r="BD14" s="223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1" t="s">
        <v>13</v>
      </c>
      <c r="F2" s="25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3"/>
      <c r="F3" s="25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5"/>
      <c r="F4" s="25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7"/>
      <c r="F10" s="258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49"/>
      <c r="F11" s="250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1" t="s">
        <v>13</v>
      </c>
      <c r="F2" s="26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3"/>
      <c r="F3" s="25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5"/>
      <c r="F4" s="25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7"/>
      <c r="F10" s="258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59"/>
      <c r="F11" s="260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2024-05-03T14:30:24Z</cp:lastPrinted>
  <dcterms:created xsi:type="dcterms:W3CDTF">1996-10-21T11:03:58Z</dcterms:created>
  <dcterms:modified xsi:type="dcterms:W3CDTF">2024-05-08T13:34:42Z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