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ABCA94EA-CF4C-49CD-81EF-CA40F034D7A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C234" i="12"/>
  <c r="B252" i="12"/>
  <c r="C251" i="12"/>
  <c r="C250" i="12"/>
  <c r="B264" i="12"/>
  <c r="C263" i="12"/>
  <c r="C262" i="12"/>
  <c r="C261" i="12"/>
  <c r="C260" i="12"/>
  <c r="C259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305" i="12"/>
  <c r="C6" i="10"/>
  <c r="C256" i="10"/>
  <c r="C16" i="10"/>
  <c r="C161" i="10"/>
  <c r="C204" i="12"/>
  <c r="C96" i="12"/>
  <c r="C306" i="10"/>
  <c r="C245" i="10"/>
  <c r="C17" i="10"/>
  <c r="C4" i="10"/>
  <c r="C112" i="10"/>
  <c r="C173" i="10"/>
  <c r="C100" i="10"/>
  <c r="C64" i="10"/>
  <c r="C209" i="10"/>
  <c r="C276" i="10"/>
  <c r="C319" i="10"/>
  <c r="C320" i="12"/>
  <c r="C232" i="10"/>
  <c r="C29" i="10"/>
  <c r="C96" i="10"/>
  <c r="C72" i="10"/>
  <c r="C36" i="12"/>
  <c r="C77" i="10"/>
  <c r="C197" i="10"/>
  <c r="C196" i="10"/>
  <c r="C149" i="10"/>
  <c r="C11" i="15"/>
  <c r="C31" i="10"/>
  <c r="C54" i="10"/>
  <c r="C180" i="12"/>
  <c r="C319" i="12"/>
  <c r="C48" i="10"/>
  <c r="C156" i="10"/>
  <c r="C139" i="10"/>
  <c r="C185" i="10"/>
  <c r="C223" i="10"/>
  <c r="C282" i="10"/>
  <c r="C48" i="12"/>
  <c r="C321" i="10"/>
  <c r="C264" i="10"/>
  <c r="C321" i="12"/>
  <c r="C120" i="12"/>
  <c r="C52" i="10"/>
  <c r="C114" i="10"/>
  <c r="C300" i="10"/>
  <c r="C204" i="10"/>
  <c r="C281" i="10"/>
  <c r="C12" i="10"/>
  <c r="C220" i="10"/>
  <c r="C132" i="10"/>
  <c r="C192" i="12"/>
  <c r="C324" i="12"/>
  <c r="C221" i="10"/>
  <c r="C240" i="10"/>
  <c r="C148" i="10"/>
  <c r="C314" i="12"/>
  <c r="C198" i="10"/>
  <c r="C84" i="10"/>
  <c r="C216" i="12"/>
  <c r="C216" i="10"/>
  <c r="C318" i="12"/>
  <c r="C126" i="10"/>
  <c r="C120" i="10"/>
  <c r="C320" i="10"/>
  <c r="C252" i="10"/>
  <c r="C222" i="10"/>
  <c r="C269" i="10"/>
  <c r="C40" i="10"/>
  <c r="C24" i="12"/>
  <c r="C160" i="10"/>
  <c r="C208" i="10"/>
  <c r="C144" i="12"/>
  <c r="C136" i="10"/>
  <c r="C156" i="12"/>
  <c r="C84" i="12"/>
  <c r="C168" i="12"/>
  <c r="C144" i="10"/>
  <c r="C150" i="10"/>
  <c r="C113" i="10"/>
  <c r="C244" i="10"/>
  <c r="C228" i="10"/>
  <c r="C60" i="12"/>
  <c r="C268" i="10"/>
  <c r="C270" i="10"/>
  <c r="C175" i="10"/>
  <c r="C192" i="10"/>
  <c r="C328" i="12"/>
  <c r="C292" i="10"/>
  <c r="C65" i="10"/>
  <c r="C76" i="10"/>
  <c r="C11" i="16"/>
  <c r="C308" i="12"/>
  <c r="C132" i="12"/>
  <c r="C280" i="10"/>
  <c r="C312" i="10"/>
  <c r="C90" i="10"/>
  <c r="C5" i="10"/>
  <c r="C138" i="10"/>
  <c r="C305" i="10"/>
  <c r="C108" i="12"/>
  <c r="C257" i="10"/>
  <c r="C36" i="10"/>
  <c r="C307" i="12"/>
  <c r="C168" i="10"/>
  <c r="C271" i="10"/>
  <c r="C124" i="10"/>
  <c r="C326" i="10"/>
  <c r="C88" i="10"/>
  <c r="C304" i="12"/>
  <c r="C108" i="10"/>
  <c r="C323" i="12"/>
  <c r="C304" i="10"/>
  <c r="C12" i="12"/>
  <c r="C24" i="10"/>
  <c r="C318" i="10"/>
  <c r="C288" i="10"/>
  <c r="C172" i="10"/>
  <c r="C247" i="10"/>
  <c r="C30" i="10"/>
  <c r="C89" i="10"/>
  <c r="C53" i="10"/>
  <c r="C174" i="10"/>
  <c r="C28" i="10"/>
  <c r="C125" i="10"/>
  <c r="C306" i="12"/>
  <c r="C72" i="12"/>
  <c r="C307" i="10"/>
  <c r="C322" i="12"/>
  <c r="C180" i="10"/>
  <c r="C317" i="10"/>
  <c r="C300" i="12"/>
  <c r="C292" i="12"/>
  <c r="C281" i="12"/>
  <c r="C280" i="12"/>
  <c r="C284" i="12"/>
  <c r="C283" i="12"/>
  <c r="C274" i="12"/>
  <c r="C273" i="12"/>
  <c r="C272" i="12"/>
  <c r="C271" i="12"/>
  <c r="C270" i="12"/>
  <c r="C269" i="12"/>
  <c r="C268" i="12"/>
  <c r="C276" i="12"/>
  <c r="C282" i="12"/>
  <c r="C285" i="12"/>
  <c r="C288" i="12"/>
  <c r="C258" i="12"/>
  <c r="C257" i="12"/>
  <c r="C264" i="12"/>
  <c r="C256" i="12"/>
  <c r="C245" i="12"/>
  <c r="C244" i="12"/>
  <c r="C249" i="12"/>
  <c r="C248" i="12"/>
  <c r="C246" i="12"/>
  <c r="C252" i="12"/>
  <c r="C247" i="12"/>
  <c r="C22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222" i="12"/>
  <c r="C228" i="12"/>
  <c r="C221" i="12"/>
  <c r="C232" i="12"/>
  <c r="C233" i="12"/>
  <c r="C240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<sst xmlns="http://schemas.openxmlformats.org/spreadsheetml/2006/main" count="1234" uniqueCount="223">
  <si>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</si>
  <si>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</si>
  <si>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</si>
  <si>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</si>
  <si>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</si>
  <si>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</si>
  <si>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</si>
  <si>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</si>
  <si>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</si>
  <si>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</si>
  <si>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</si>
  <si>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</si>
  <si>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</si>
  <si>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</si>
  <si>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</si>
  <si>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</si>
  <si>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</si>
  <si>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</si>
  <si>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</si>
  <si>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</si>
  <si>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</si>
  <si>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</si>
  <si>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</si>
  <si>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</si>
  <si>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</si>
  <si>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</si>
  <si>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</si>
  <si>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</si>
  <si>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</si>
  <si>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</si>
  <si>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</si>
  <si>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</si>
  <si>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</si>
  <si>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</si>
  <si>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</si>
  <si>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</si>
  <si>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</si>
  <si>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</si>
  <si>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</si>
  <si>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</si>
  <si>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</si>
  <si>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</si>
  <si>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</si>
  <si>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</si>
  <si>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</si>
  <si>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</si>
  <si>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</si>
  <si>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</si>
  <si>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</si>
  <si>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</si>
  <si>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</si>
  <si>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</si>
  <si>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</si>
  <si>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</si>
  <si>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</si>
  <si>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</si>
  <si>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</si>
  <si>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</si>
  <si>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</si>
  <si>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</si>
  <si>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</si>
  <si>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</si>
  <si>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</si>
  <si>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</si>
  <si>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</si>
  <si>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</si>
  <si>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</si>
  <si>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</si>
  <si>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</si>
  <si>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</si>
  <si>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</si>
  <si>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</si>
  <si>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</si>
  <si>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</si>
  <si>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</si>
  <si>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</si>
  <si>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</si>
  <si>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</si>
  <si>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</si>
  <si>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</si>
  <si>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</si>
  <si>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</si>
  <si>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</si>
  <si>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</si>
  <si>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</si>
  <si>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</si>
  <si>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</si>
  <si>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</si>
  <si>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</si>
  <si>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</si>
  <si>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</si>
  <si>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</si>
  <si>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</si>
  <si>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</si>
  <si>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</si>
  <si>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</si>
  <si>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</si>
  <si>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</si>
  <si>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</si>
  <si>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</si>
  <si>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</si>
  <si>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</si>
  <si>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</si>
  <si>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</si>
  <si>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</si>
  <si>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</si>
  <si>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</si>
  <si>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</si>
  <si>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</si>
  <si>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</si>
  <si>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</si>
  <si>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</si>
  <si>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</si>
  <si>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</si>
  <si>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</si>
  <si>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</si>
  <si>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</si>
  <si>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</si>
  <si>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</si>
  <si>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</si>
  <si>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</si>
  <si>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</si>
  <si>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</si>
  <si>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</si>
  <si>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</si>
  <si>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</si>
  <si>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</si>
  <si>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</si>
  <si>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</si>
  <si>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</si>
  <si>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</si>
  <si>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</si>
  <si>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</si>
  <si>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</si>
  <si>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</si>
  <si>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</si>
  <si>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</si>
  <si>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</si>
  <si>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</si>
  <si>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</si>
  <si>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</si>
  <si>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</si>
  <si>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</si>
  <si>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</si>
  <si>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</si>
  <si>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</si>
  <si>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</si>
  <si>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</si>
  <si>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</si>
  <si>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</si>
  <si>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</si>
  <si>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</si>
  <si>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</si>
  <si>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</si>
  <si>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</si>
  <si>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</si>
  <si>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</si>
  <si>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</si>
  <si>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</si>
  <si>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</si>
  <si>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</si>
  <si>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</si>
  <si>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</si>
  <si>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</si>
  <si>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</si>
  <si>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</si>
  <si>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</si>
  <si>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</si>
  <si>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</si>
  <si>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</si>
  <si>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</si>
  <si>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</si>
  <si>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</si>
  <si>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</si>
  <si>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</si>
  <si>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</si>
  <si>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</si>
  <si>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</si>
  <si>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</si>
  <si>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</si>
  <si>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</si>
  <si>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</si>
  <si>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</si>
  <si>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</si>
  <si>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</si>
  <si>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</si>
  <si>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</si>
  <si>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</si>
  <si>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</si>
  <si>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</si>
  <si>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</si>
  <si>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</si>
  <si>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</si>
  <si>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</si>
  <si>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</si>
  <si>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</si>
  <si>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</si>
  <si>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</si>
  <si>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</si>
  <si>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</si>
  <si>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</si>
  <si>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</si>
  <si>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</si>
  <si>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</si>
  <si>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</si>
  <si>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</si>
  <si>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</si>
  <si>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</si>
  <si>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</si>
  <si>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</si>
  <si>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</si>
  <si>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</si>
  <si>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</si>
  <si>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</si>
  <si>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</si>
  <si>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</si>
  <si>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</si>
  <si>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23h30min</t>
  </si>
  <si>
    <t>- 65h30min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</si>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</sst>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6.4200000762939453</c:v>
              </c:pt>
              <c:pt idx="12">
                <c:v>0</c:v>
              </c:pt>
              <c:pt idx="13">
                <c:v>0</c:v>
              </c:pt>
              <c:pt idx="14">
                <c:v>0.41999998688697815</c:v>
              </c:pt>
              <c:pt idx="15">
                <c:v>0</c:v>
              </c:pt>
              <c:pt idx="16">
                <c:v>0.25</c:v>
              </c:pt>
              <c:pt idx="17">
                <c:v>0.67000001668930054</c:v>
              </c:pt>
              <c:pt idx="18">
                <c:v>0</c:v>
              </c:pt>
              <c:pt idx="19">
                <c:v>0</c:v>
              </c:pt>
              <c:pt idx="20">
                <c:v>2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217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218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A22" zoomScale="55" zoomScaleNormal="70" zoomScaleSheetLayoutView="55" workbookViewId="0">
      <selection activeCell="F68" sqref="F68:BQJ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25" t="s">
        <v>30</v>
      </c>
      <c r="D1" s="225"/>
      <c r="E1" s="2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26"/>
      <c r="D7" s="226"/>
      <c r="E7" s="22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27" t="str">
        <f>E70</f>
        <v>89h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03"/>
      <c r="W9" s="236" t="s">
        <v>22</v>
      </c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27" t="str">
        <f>E72</f>
        <v>30h10min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</row>
    <row r="11" spans="1:1805" ht="20.100000000000001" customHeight="1" x14ac:dyDescent="0.25">
      <c r="B11" s="53"/>
      <c r="C11" s="239"/>
      <c r="D11" s="239"/>
      <c r="E11" s="239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141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141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139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136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136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133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133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133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  <c r="BLV11" s="218" t="s">
        <v>131</v>
      </c>
      <c r="BLW11" s="218"/>
      <c r="BLX11" s="218"/>
      <c r="BLY11" s="218"/>
      <c r="BLZ11" s="218"/>
      <c r="BMA11" s="218"/>
      <c r="BMB11" s="218"/>
      <c r="BMC11" s="218"/>
      <c r="BMD11" s="218"/>
      <c r="BME11" s="218"/>
      <c r="BMF11" s="218"/>
      <c r="BMG11" s="218"/>
      <c r="BMH11" s="218"/>
      <c r="BMI11" s="218"/>
      <c r="BMJ11" s="218"/>
      <c r="BMK11" s="218"/>
      <c r="BML11" s="218"/>
      <c r="BMM11" s="218"/>
      <c r="BMN11" s="218"/>
      <c r="BMO11" s="218"/>
      <c r="BMP11" s="218"/>
      <c r="BMQ11" s="218"/>
      <c r="BMR11" s="218"/>
      <c r="BMS11" s="218"/>
      <c r="BMT11" s="218"/>
      <c r="BMU11" s="218"/>
      <c r="BMV11" s="218"/>
      <c r="BMW11" s="218"/>
      <c r="BMX11" s="218"/>
      <c r="BMY11" s="218"/>
      <c r="BMZ11" s="218"/>
      <c r="BNA11" s="218"/>
      <c r="BNB11" s="218"/>
      <c r="BNC11" s="218"/>
      <c r="BND11" s="218"/>
      <c r="BNE11" s="218"/>
      <c r="BNF11" s="218"/>
      <c r="BNG11" s="218"/>
      <c r="BNH11" s="218"/>
      <c r="BNI11" s="218"/>
      <c r="BNJ11" s="218"/>
      <c r="BNK11" s="218"/>
      <c r="BNL11" s="218"/>
      <c r="BNM11" s="218"/>
      <c r="BNN11" s="218"/>
      <c r="BNO11" s="218"/>
      <c r="BNP11" s="218"/>
      <c r="BNQ11" s="218"/>
      <c r="BNR11" s="218"/>
      <c r="BNS11" s="218"/>
      <c r="BNT11" s="218"/>
      <c r="BNU11" s="218"/>
      <c r="BNV11" s="218"/>
      <c r="BNW11" s="218"/>
      <c r="BNX11" s="218"/>
      <c r="BNY11" s="218"/>
      <c r="BNZ11" s="218"/>
      <c r="BOA11" s="218"/>
      <c r="BOB11" s="218"/>
      <c r="BOC11" s="218"/>
      <c r="BOD11" s="218" t="s">
        <v>131</v>
      </c>
      <c r="BOE11" s="218"/>
      <c r="BOF11" s="218"/>
      <c r="BOG11" s="218"/>
      <c r="BOH11" s="218"/>
      <c r="BOI11" s="218"/>
      <c r="BOJ11" s="218"/>
      <c r="BOK11" s="218"/>
      <c r="BOL11" s="218"/>
      <c r="BOM11" s="218"/>
      <c r="BON11" s="218"/>
      <c r="BOO11" s="218"/>
      <c r="BOP11" s="218"/>
      <c r="BOQ11" s="218"/>
      <c r="BOR11" s="218"/>
      <c r="BOS11" s="218"/>
      <c r="BOT11" s="218"/>
      <c r="BOU11" s="218"/>
      <c r="BOV11" s="218"/>
      <c r="BOW11" s="218"/>
      <c r="BOX11" s="218"/>
      <c r="BOY11" s="218"/>
      <c r="BOZ11" s="218"/>
      <c r="BPA11" s="218"/>
      <c r="BPB11" s="218"/>
      <c r="BPC11" s="218"/>
      <c r="BPD11" s="218"/>
      <c r="BPE11" s="218"/>
      <c r="BPF11" s="218"/>
      <c r="BPG11" s="218"/>
      <c r="BPH11" s="218"/>
      <c r="BPI11" s="218"/>
      <c r="BPJ11" s="218"/>
      <c r="BPK11" s="218"/>
      <c r="BPL11" s="218"/>
      <c r="BPM11" s="218"/>
      <c r="BPN11" s="218"/>
      <c r="BPO11" s="218"/>
      <c r="BPP11" s="218"/>
      <c r="BPQ11" s="218"/>
      <c r="BPR11" s="218"/>
      <c r="BPS11" s="218"/>
      <c r="BPT11" s="218"/>
      <c r="BPU11" s="218"/>
      <c r="BPV11" s="218"/>
      <c r="BPW11" s="218"/>
      <c r="BPX11" s="218"/>
      <c r="BPY11" s="218"/>
      <c r="BPZ11" s="218"/>
      <c r="BQA11" s="218"/>
      <c r="BQB11" s="218"/>
      <c r="BQC11" s="218"/>
      <c r="BQD11" s="218"/>
      <c r="BQE11" s="218"/>
      <c r="BQF11" s="218"/>
      <c r="BQG11" s="218"/>
      <c r="BQH11" s="218"/>
      <c r="BQI11" s="218"/>
      <c r="BQJ11" s="218"/>
      <c r="BQK11" s="218"/>
    </row>
    <row r="12" spans="1:1805" ht="15.75" customHeight="1" thickBot="1" x14ac:dyDescent="0.3">
      <c r="B12" s="81"/>
      <c r="C12" s="240"/>
      <c r="D12" s="240"/>
      <c r="E12" s="240"/>
      <c r="F12" s="234" t="s">
        <v>47</v>
      </c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 t="s">
        <v>46</v>
      </c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  <c r="BLV12" s="219" t="s">
        <v>47</v>
      </c>
      <c r="BLW12" s="219"/>
      <c r="BLX12" s="219"/>
      <c r="BLY12" s="219"/>
      <c r="BLZ12" s="219"/>
      <c r="BMA12" s="219"/>
      <c r="BMB12" s="219"/>
      <c r="BMC12" s="219"/>
      <c r="BMD12" s="219"/>
      <c r="BME12" s="219"/>
      <c r="BMF12" s="219"/>
      <c r="BMG12" s="219"/>
      <c r="BMH12" s="219"/>
      <c r="BMI12" s="219"/>
      <c r="BMJ12" s="219"/>
      <c r="BMK12" s="219"/>
      <c r="BML12" s="219"/>
      <c r="BMM12" s="219"/>
      <c r="BMN12" s="219"/>
      <c r="BMO12" s="219"/>
      <c r="BMP12" s="219"/>
      <c r="BMQ12" s="219"/>
      <c r="BMR12" s="219"/>
      <c r="BMS12" s="219"/>
      <c r="BMT12" s="219"/>
      <c r="BMU12" s="219"/>
      <c r="BMV12" s="219"/>
      <c r="BMW12" s="219"/>
      <c r="BMX12" s="219"/>
      <c r="BMY12" s="219"/>
      <c r="BMZ12" s="219"/>
      <c r="BNA12" s="219"/>
      <c r="BNB12" s="219"/>
      <c r="BNC12" s="219"/>
      <c r="BND12" s="219"/>
      <c r="BNE12" s="219"/>
      <c r="BNF12" s="219"/>
      <c r="BNG12" s="219"/>
      <c r="BNH12" s="219"/>
      <c r="BNI12" s="219"/>
      <c r="BNJ12" s="219"/>
      <c r="BNK12" s="219"/>
      <c r="BNL12" s="219"/>
      <c r="BNM12" s="219"/>
      <c r="BNN12" s="219"/>
      <c r="BNO12" s="219"/>
      <c r="BNP12" s="219"/>
      <c r="BNQ12" s="219"/>
      <c r="BNR12" s="219"/>
      <c r="BNS12" s="219"/>
      <c r="BNT12" s="219"/>
      <c r="BNU12" s="219"/>
      <c r="BNV12" s="219"/>
      <c r="BNW12" s="219"/>
      <c r="BNX12" s="219"/>
      <c r="BNY12" s="219"/>
      <c r="BNZ12" s="219"/>
      <c r="BOA12" s="219"/>
      <c r="BOB12" s="219"/>
      <c r="BOC12" s="219"/>
      <c r="BOD12" s="219" t="s">
        <v>46</v>
      </c>
      <c r="BOE12" s="219"/>
      <c r="BOF12" s="219"/>
      <c r="BOG12" s="219"/>
      <c r="BOH12" s="219"/>
      <c r="BOI12" s="219"/>
      <c r="BOJ12" s="219"/>
      <c r="BOK12" s="219"/>
      <c r="BOL12" s="219"/>
      <c r="BOM12" s="219"/>
      <c r="BON12" s="219"/>
      <c r="BOO12" s="219"/>
      <c r="BOP12" s="219"/>
      <c r="BOQ12" s="219"/>
      <c r="BOR12" s="219"/>
      <c r="BOS12" s="219"/>
      <c r="BOT12" s="219"/>
      <c r="BOU12" s="219"/>
      <c r="BOV12" s="219"/>
      <c r="BOW12" s="219"/>
      <c r="BOX12" s="219"/>
      <c r="BOY12" s="219"/>
      <c r="BOZ12" s="219"/>
      <c r="BPA12" s="219"/>
      <c r="BPB12" s="219"/>
      <c r="BPC12" s="219"/>
      <c r="BPD12" s="219"/>
      <c r="BPE12" s="219"/>
      <c r="BPF12" s="219"/>
      <c r="BPG12" s="219"/>
      <c r="BPH12" s="219"/>
      <c r="BPI12" s="219"/>
      <c r="BPJ12" s="219"/>
      <c r="BPK12" s="219"/>
      <c r="BPL12" s="219"/>
      <c r="BPM12" s="219"/>
      <c r="BPN12" s="219"/>
      <c r="BPO12" s="219"/>
      <c r="BPP12" s="219"/>
      <c r="BPQ12" s="219"/>
      <c r="BPR12" s="219"/>
      <c r="BPS12" s="219"/>
      <c r="BPT12" s="219"/>
      <c r="BPU12" s="219"/>
      <c r="BPV12" s="219"/>
      <c r="BPW12" s="219"/>
      <c r="BPX12" s="219"/>
      <c r="BPY12" s="219"/>
      <c r="BPZ12" s="219"/>
      <c r="BQA12" s="219"/>
      <c r="BQB12" s="219"/>
      <c r="BQC12" s="219"/>
      <c r="BQD12" s="219"/>
      <c r="BQE12" s="219"/>
      <c r="BQF12" s="219"/>
      <c r="BQG12" s="219"/>
      <c r="BQH12" s="219"/>
      <c r="BQI12" s="219"/>
      <c r="BQJ12" s="219"/>
      <c r="BQK12" s="219"/>
    </row>
    <row r="13" spans="1:1805" ht="42.75" customHeight="1" thickBot="1" x14ac:dyDescent="0.3">
      <c r="B13" s="53"/>
      <c r="C13" s="230" t="s">
        <v>7</v>
      </c>
      <c r="D13" s="127"/>
      <c r="E13" s="232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142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140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137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135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134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220" t="s">
        <v>132</v>
      </c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2"/>
    </row>
    <row r="14" spans="1:1805" ht="12.75" customHeight="1" thickBot="1" x14ac:dyDescent="0.35">
      <c r="B14" s="53"/>
      <c r="C14" s="231"/>
      <c r="D14" s="128"/>
      <c r="E14" s="233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  <c r="BLV14" s="87"/>
      <c r="BLW14" s="88"/>
      <c r="BLX14" s="88"/>
      <c r="BLY14" s="88"/>
      <c r="BLZ14" s="223" t="s">
        <v>34</v>
      </c>
      <c r="BMA14" s="223"/>
      <c r="BMB14" s="223"/>
      <c r="BMC14" s="223"/>
      <c r="BMD14" s="88"/>
      <c r="BME14" s="88"/>
      <c r="BMF14" s="224" t="s">
        <v>23</v>
      </c>
      <c r="BMG14" s="224"/>
      <c r="BMH14" s="224"/>
      <c r="BMI14" s="224"/>
      <c r="BMJ14" s="112"/>
      <c r="BMK14" s="112"/>
      <c r="BML14" s="223" t="s">
        <v>35</v>
      </c>
      <c r="BMM14" s="223"/>
      <c r="BMN14" s="223"/>
      <c r="BMO14" s="223"/>
      <c r="BMP14" s="88"/>
      <c r="BMQ14" s="88"/>
      <c r="BMR14" s="224" t="s">
        <v>24</v>
      </c>
      <c r="BMS14" s="224"/>
      <c r="BMT14" s="224"/>
      <c r="BMU14" s="224"/>
      <c r="BMV14" s="112"/>
      <c r="BMW14" s="112"/>
      <c r="BMX14" s="223" t="s">
        <v>36</v>
      </c>
      <c r="BMY14" s="223"/>
      <c r="BMZ14" s="223"/>
      <c r="BNA14" s="223"/>
      <c r="BNB14" s="88"/>
      <c r="BNC14" s="88"/>
      <c r="BND14" s="224" t="s">
        <v>25</v>
      </c>
      <c r="BNE14" s="224"/>
      <c r="BNF14" s="224"/>
      <c r="BNG14" s="224"/>
      <c r="BNH14" s="112"/>
      <c r="BNI14" s="112"/>
      <c r="BNJ14" s="223" t="s">
        <v>37</v>
      </c>
      <c r="BNK14" s="223"/>
      <c r="BNL14" s="223"/>
      <c r="BNM14" s="223"/>
      <c r="BNN14" s="88"/>
      <c r="BNO14" s="88"/>
      <c r="BNP14" s="224" t="s">
        <v>26</v>
      </c>
      <c r="BNQ14" s="224"/>
      <c r="BNR14" s="224"/>
      <c r="BNS14" s="224"/>
      <c r="BNT14" s="112"/>
      <c r="BNU14" s="112"/>
      <c r="BNV14" s="223" t="s">
        <v>38</v>
      </c>
      <c r="BNW14" s="223"/>
      <c r="BNX14" s="223"/>
      <c r="BNY14" s="223"/>
      <c r="BNZ14" s="88"/>
      <c r="BOA14" s="88"/>
      <c r="BOB14" s="88"/>
      <c r="BOC14" s="89"/>
      <c r="BOD14" s="87"/>
      <c r="BOE14" s="88"/>
      <c r="BOF14" s="88"/>
      <c r="BOG14" s="88"/>
      <c r="BOH14" s="223" t="s">
        <v>34</v>
      </c>
      <c r="BOI14" s="223"/>
      <c r="BOJ14" s="223"/>
      <c r="BOK14" s="223"/>
      <c r="BOL14" s="88"/>
      <c r="BOM14" s="88"/>
      <c r="BON14" s="224" t="s">
        <v>23</v>
      </c>
      <c r="BOO14" s="224"/>
      <c r="BOP14" s="224"/>
      <c r="BOQ14" s="224"/>
      <c r="BOR14" s="112"/>
      <c r="BOS14" s="112"/>
      <c r="BOT14" s="223" t="s">
        <v>35</v>
      </c>
      <c r="BOU14" s="223"/>
      <c r="BOV14" s="223"/>
      <c r="BOW14" s="223"/>
      <c r="BOX14" s="88"/>
      <c r="BOY14" s="88"/>
      <c r="BOZ14" s="224" t="s">
        <v>24</v>
      </c>
      <c r="BPA14" s="224"/>
      <c r="BPB14" s="224"/>
      <c r="BPC14" s="224"/>
      <c r="BPD14" s="112"/>
      <c r="BPE14" s="112"/>
      <c r="BPF14" s="223" t="s">
        <v>36</v>
      </c>
      <c r="BPG14" s="223"/>
      <c r="BPH14" s="223"/>
      <c r="BPI14" s="223"/>
      <c r="BPJ14" s="88"/>
      <c r="BPK14" s="88"/>
      <c r="BPL14" s="224" t="s">
        <v>25</v>
      </c>
      <c r="BPM14" s="224"/>
      <c r="BPN14" s="224"/>
      <c r="BPO14" s="224"/>
      <c r="BPP14" s="112"/>
      <c r="BPQ14" s="112"/>
      <c r="BPR14" s="223" t="s">
        <v>37</v>
      </c>
      <c r="BPS14" s="223"/>
      <c r="BPT14" s="223"/>
      <c r="BPU14" s="223"/>
      <c r="BPV14" s="88"/>
      <c r="BPW14" s="88"/>
      <c r="BPX14" s="224" t="s">
        <v>26</v>
      </c>
      <c r="BPY14" s="224"/>
      <c r="BPZ14" s="224"/>
      <c r="BQA14" s="224"/>
      <c r="BQB14" s="112"/>
      <c r="BQC14" s="112"/>
      <c r="BQD14" s="223" t="s">
        <v>38</v>
      </c>
      <c r="BQE14" s="223"/>
      <c r="BQF14" s="223"/>
      <c r="BQG14" s="223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8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8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9"/>
      <c r="D38" s="131" t="str">
        <f t="shared" si="0"/>
        <v>12h35min</v>
      </c>
      <c r="E38" s="30">
        <v>151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9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9"/>
      <c r="D44" s="131" t="str">
        <f t="shared" si="0"/>
        <v>0h25min</v>
      </c>
      <c r="E44" s="30">
        <v>5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9"/>
      <c r="D48" s="131" t="str">
        <f t="shared" si="0"/>
        <v>0h25min</v>
      </c>
      <c r="E48" s="22">
        <v>5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9"/>
      <c r="D50" s="131" t="str">
        <f t="shared" si="0"/>
        <v>0h45min</v>
      </c>
      <c r="E50" s="30">
        <v>9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9"/>
      <c r="D56" s="130" t="str">
        <f t="shared" si="0"/>
        <v>2h15min</v>
      </c>
      <c r="E56" s="22">
        <v>27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45" t="s">
        <v>9</v>
      </c>
      <c r="D69" s="246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47"/>
      <c r="D70" s="248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41" t="s">
        <v>10</v>
      </c>
      <c r="D71" s="242"/>
      <c r="E71" s="102">
        <f>SUM(E16,E18,E20,E22,E24,E26,E28,E30,E32,E34,E36,E38,E40,E42,E44,E46,E48,E50,E52,E54,E56,E58,E60,E62,E64,E66,E68)</f>
        <v>362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43"/>
      <c r="D72" s="244"/>
      <c r="E72" s="106" t="str">
        <f xml:space="preserve"> setValueToTime(E71)</f>
        <v>30h10min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8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tabSelected="1" view="pageBreakPreview" zoomScale="98" zoomScaleNormal="100" zoomScaleSheetLayoutView="98" workbookViewId="0">
      <pane ySplit="1" topLeftCell="A20" activePane="bottomLeft" state="frozen"/>
      <selection activeCell="BC13" sqref="BC13"/>
      <selection pane="bottomLeft" activeCell="D20" sqref="D20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1" t="s">
        <v>13</v>
      </c>
      <c r="F3" s="252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3"/>
      <c r="F4" s="254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55"/>
      <c r="F5" s="256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55"/>
      <c r="F6" s="256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7"/>
      <c r="F11" s="258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49"/>
      <c r="F12" s="25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1" t="s">
        <v>13</v>
      </c>
      <c r="F15" s="252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3"/>
      <c r="F16" s="254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55"/>
      <c r="F17" s="256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7"/>
      <c r="F23" s="258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49"/>
      <c r="F24" s="25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1" t="s">
        <v>13</v>
      </c>
      <c r="F27" s="252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3"/>
      <c r="F28" s="254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55"/>
      <c r="F29" s="256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55"/>
      <c r="F30" s="256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55"/>
      <c r="F31" s="256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7"/>
      <c r="F35" s="258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49"/>
      <c r="F36" s="25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1" t="s">
        <v>13</v>
      </c>
      <c r="F39" s="252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7"/>
      <c r="F47" s="258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49"/>
      <c r="F48" s="25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1" t="s">
        <v>13</v>
      </c>
      <c r="F51" s="252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3"/>
      <c r="F52" s="254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55"/>
      <c r="F53" s="256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55"/>
      <c r="F54" s="256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7"/>
      <c r="F59" s="258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49"/>
      <c r="F60" s="25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1" t="s">
        <v>13</v>
      </c>
      <c r="F63" s="252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3"/>
      <c r="F64" s="254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55"/>
      <c r="F65" s="256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7"/>
      <c r="F71" s="258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49"/>
      <c r="F72" s="25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1" t="s">
        <v>13</v>
      </c>
      <c r="F75" s="252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3"/>
      <c r="F76" s="254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55"/>
      <c r="F77" s="256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7"/>
      <c r="F83" s="25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49"/>
      <c r="F84" s="25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1" t="s">
        <v>13</v>
      </c>
      <c r="F87" s="252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3"/>
      <c r="F88" s="254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55"/>
      <c r="F89" s="256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55"/>
      <c r="F90" s="256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7"/>
      <c r="F95" s="258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49"/>
      <c r="F96" s="25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1" t="s">
        <v>13</v>
      </c>
      <c r="F99" s="252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3"/>
      <c r="F100" s="254"/>
      <c r="G100" s="3"/>
    </row>
    <row r="101" spans="1:7" s="44" customFormat="1" x14ac:dyDescent="0.3">
      <c r="A101" s="45"/>
      <c r="B101" s="46"/>
      <c r="C101" s="136"/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7"/>
      <c r="F107" s="258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49"/>
      <c r="F108" s="25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1" t="s">
        <v>13</v>
      </c>
      <c r="F111" s="252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3"/>
      <c r="F112" s="254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55"/>
      <c r="F113" s="256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55"/>
      <c r="F114" s="256"/>
      <c r="G114" s="3"/>
    </row>
    <row r="115" spans="1:7" s="44" customFormat="1" x14ac:dyDescent="0.3">
      <c r="A115" s="45"/>
      <c r="B115" s="46"/>
      <c r="C115" s="137"/>
      <c r="D115" s="47"/>
      <c r="E115" s="255"/>
      <c r="F115" s="256"/>
      <c r="G115" s="3"/>
    </row>
    <row r="116" spans="1:7" s="44" customFormat="1" x14ac:dyDescent="0.3">
      <c r="A116" s="45"/>
      <c r="B116" s="46"/>
      <c r="C116" s="137"/>
      <c r="D116" s="47"/>
      <c r="E116" s="255"/>
      <c r="F116" s="256"/>
      <c r="G116" s="3"/>
    </row>
    <row r="117" spans="1:7" s="44" customFormat="1" x14ac:dyDescent="0.3">
      <c r="A117" s="45"/>
      <c r="B117" s="46"/>
      <c r="C117" s="137"/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7"/>
      <c r="F119" s="258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49"/>
      <c r="F120" s="25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1" t="s">
        <v>13</v>
      </c>
      <c r="F123" s="252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3"/>
      <c r="F124" s="254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55"/>
      <c r="F125" s="256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55"/>
      <c r="F126" s="256"/>
      <c r="G126" s="3"/>
    </row>
    <row r="127" spans="1:7" s="44" customFormat="1" x14ac:dyDescent="0.3">
      <c r="A127" s="45"/>
      <c r="B127" s="46"/>
      <c r="C127" s="137"/>
      <c r="D127" s="47"/>
      <c r="E127" s="255"/>
      <c r="F127" s="256"/>
      <c r="G127" s="3"/>
    </row>
    <row r="128" spans="1:7" s="44" customFormat="1" x14ac:dyDescent="0.3">
      <c r="A128" s="45"/>
      <c r="B128" s="46"/>
      <c r="C128" s="137"/>
      <c r="D128" s="47"/>
      <c r="E128" s="255"/>
      <c r="F128" s="256"/>
      <c r="G128" s="3"/>
    </row>
    <row r="129" spans="1:7" s="44" customFormat="1" x14ac:dyDescent="0.3">
      <c r="A129" s="45"/>
      <c r="B129" s="46"/>
      <c r="C129" s="137"/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7"/>
      <c r="F131" s="258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49"/>
      <c r="F132" s="25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1" t="s">
        <v>13</v>
      </c>
      <c r="F135" s="252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3"/>
      <c r="F136" s="254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55"/>
      <c r="F137" s="256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55"/>
      <c r="F138" s="256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55"/>
      <c r="F139" s="256"/>
      <c r="G139" s="3"/>
    </row>
    <row r="140" spans="1:7" s="44" customFormat="1" x14ac:dyDescent="0.3">
      <c r="A140" s="46"/>
      <c r="B140" s="46"/>
      <c r="C140" s="137"/>
      <c r="D140" s="47"/>
      <c r="E140" s="255"/>
      <c r="F140" s="256"/>
      <c r="G140" s="3"/>
    </row>
    <row r="141" spans="1:7" s="44" customFormat="1" x14ac:dyDescent="0.3">
      <c r="A141" s="45"/>
      <c r="B141" s="46"/>
      <c r="C141" s="137"/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7"/>
      <c r="F143" s="25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49"/>
      <c r="F144" s="25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1" t="s">
        <v>13</v>
      </c>
      <c r="F147" s="252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3"/>
      <c r="F148" s="254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55"/>
      <c r="F149" s="256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55"/>
      <c r="F150" s="256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55"/>
      <c r="F151" s="256"/>
      <c r="G151" s="3"/>
    </row>
    <row r="152" spans="1:7" s="44" customFormat="1" x14ac:dyDescent="0.3">
      <c r="A152" s="45"/>
      <c r="B152" s="46"/>
      <c r="C152" s="137"/>
      <c r="D152" s="47"/>
      <c r="E152" s="255"/>
      <c r="F152" s="256"/>
      <c r="G152" s="3"/>
    </row>
    <row r="153" spans="1:7" s="44" customFormat="1" x14ac:dyDescent="0.3">
      <c r="A153" s="45"/>
      <c r="B153" s="46"/>
      <c r="C153" s="137"/>
      <c r="D153" s="47"/>
      <c r="E153" s="255"/>
      <c r="F153" s="256"/>
      <c r="G153" s="3"/>
    </row>
    <row r="154" spans="1:7" s="44" customFormat="1" x14ac:dyDescent="0.3">
      <c r="A154" s="45"/>
      <c r="B154" s="46"/>
      <c r="C154" s="137"/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7"/>
      <c r="F155" s="258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49"/>
      <c r="F156" s="25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1" t="s">
        <v>13</v>
      </c>
      <c r="F159" s="252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3"/>
      <c r="F160" s="254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55"/>
      <c r="F161" s="256"/>
      <c r="G161" s="3"/>
    </row>
    <row r="162" spans="1:7" s="44" customFormat="1" x14ac:dyDescent="0.3">
      <c r="A162" s="45"/>
      <c r="B162" s="46"/>
      <c r="C162" s="137"/>
      <c r="D162" s="47"/>
      <c r="E162" s="255"/>
      <c r="F162" s="256"/>
      <c r="G162" s="3"/>
    </row>
    <row r="163" spans="1:7" s="44" customFormat="1" x14ac:dyDescent="0.3">
      <c r="A163" s="45"/>
      <c r="B163" s="46"/>
      <c r="C163" s="137"/>
      <c r="D163" s="47"/>
      <c r="E163" s="255"/>
      <c r="F163" s="256"/>
      <c r="G163" s="3"/>
    </row>
    <row r="164" spans="1:7" s="44" customFormat="1" x14ac:dyDescent="0.3">
      <c r="A164" s="45"/>
      <c r="B164" s="46"/>
      <c r="C164" s="137"/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7"/>
      <c r="F167" s="25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49"/>
      <c r="F168" s="25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1" t="s">
        <v>13</v>
      </c>
      <c r="F171" s="252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3"/>
      <c r="F172" s="254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55"/>
      <c r="F173" s="256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55"/>
      <c r="F174" s="256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55"/>
      <c r="F175" s="256"/>
      <c r="G175" s="3"/>
    </row>
    <row r="176" spans="1:7" s="44" customFormat="1" x14ac:dyDescent="0.3">
      <c r="A176" s="45"/>
      <c r="B176" s="46"/>
      <c r="C176" s="137"/>
      <c r="D176" s="47"/>
      <c r="E176" s="255"/>
      <c r="F176" s="256"/>
      <c r="G176" s="3"/>
    </row>
    <row r="177" spans="1:7" s="44" customFormat="1" x14ac:dyDescent="0.3">
      <c r="A177" s="45"/>
      <c r="B177" s="46"/>
      <c r="C177" s="137"/>
      <c r="D177" s="47"/>
      <c r="E177" s="255"/>
      <c r="F177" s="256"/>
      <c r="G177" s="3"/>
    </row>
    <row r="178" spans="1:7" s="44" customFormat="1" x14ac:dyDescent="0.3">
      <c r="A178" s="45"/>
      <c r="B178" s="46"/>
      <c r="C178" s="137"/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7"/>
      <c r="F179" s="258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49"/>
      <c r="F180" s="25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1" t="s">
        <v>13</v>
      </c>
      <c r="F183" s="252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3"/>
      <c r="F184" s="254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55"/>
      <c r="F185" s="256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7"/>
      <c r="D187" s="47"/>
      <c r="E187" s="255"/>
      <c r="F187" s="256"/>
      <c r="G187" s="3"/>
    </row>
    <row r="188" spans="1:7" s="44" customFormat="1" x14ac:dyDescent="0.3">
      <c r="A188" s="45"/>
      <c r="B188" s="46"/>
      <c r="C188" s="137"/>
      <c r="D188" s="47"/>
      <c r="E188" s="255"/>
      <c r="F188" s="256"/>
      <c r="G188" s="3"/>
    </row>
    <row r="189" spans="1:7" s="44" customFormat="1" x14ac:dyDescent="0.3">
      <c r="A189" s="45"/>
      <c r="B189" s="46"/>
      <c r="C189" s="137"/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7"/>
      <c r="F191" s="258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49"/>
      <c r="F192" s="25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1" t="s">
        <v>13</v>
      </c>
      <c r="F195" s="252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3"/>
      <c r="F196" s="254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55"/>
      <c r="F197" s="256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55"/>
      <c r="F198" s="256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7"/>
      <c r="F203" s="258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49"/>
      <c r="F204" s="25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1" t="s">
        <v>13</v>
      </c>
      <c r="F207" s="252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3"/>
      <c r="F208" s="254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55"/>
      <c r="F209" s="256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55"/>
      <c r="F211" s="256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7"/>
      <c r="F215" s="258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49"/>
      <c r="F216" s="25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1" t="s">
        <v>13</v>
      </c>
      <c r="F219" s="252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3"/>
      <c r="F220" s="254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55"/>
      <c r="F221" s="256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55"/>
      <c r="F222" s="256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7"/>
      <c r="F227" s="258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49"/>
      <c r="F228" s="25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1" t="s">
        <v>13</v>
      </c>
      <c r="F231" s="252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3"/>
      <c r="F232" s="254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55"/>
      <c r="F233" s="256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7"/>
      <c r="F239" s="258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49"/>
      <c r="F240" s="25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1" t="s">
        <v>13</v>
      </c>
      <c r="F243" s="252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3"/>
      <c r="F244" s="254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55"/>
      <c r="F245" s="256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55"/>
      <c r="F246" s="256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7"/>
      <c r="F251" s="258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49"/>
      <c r="F252" s="25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1" t="s">
        <v>13</v>
      </c>
      <c r="F255" s="252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3"/>
      <c r="F256" s="254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55"/>
      <c r="F257" s="256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55"/>
      <c r="F258" s="256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7"/>
      <c r="F263" s="258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49"/>
      <c r="F264" s="25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1" t="s">
        <v>13</v>
      </c>
      <c r="F267" s="252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3"/>
      <c r="F268" s="254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55"/>
      <c r="F269" s="256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55"/>
      <c r="F270" s="256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7"/>
      <c r="F275" s="258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49"/>
      <c r="F276" s="25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1" t="s">
        <v>13</v>
      </c>
      <c r="F279" s="252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3"/>
      <c r="F280" s="254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55"/>
      <c r="F282" s="256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55"/>
      <c r="F283" s="256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55"/>
      <c r="F284" s="256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7"/>
      <c r="F287" s="258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49"/>
      <c r="F288" s="25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1" t="s">
        <v>13</v>
      </c>
      <c r="F291" s="252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3"/>
      <c r="F292" s="254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7"/>
      <c r="F299" s="258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49"/>
      <c r="F300" s="250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1" t="s">
        <v>13</v>
      </c>
      <c r="F303" s="252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3"/>
      <c r="F304" s="254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55"/>
      <c r="F305" s="256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55"/>
      <c r="F306" s="256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7"/>
      <c r="F311" s="258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49"/>
      <c r="F312" s="250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1" t="s">
        <v>13</v>
      </c>
      <c r="F315" s="252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3"/>
      <c r="F316" s="254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55"/>
      <c r="F317" s="256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55"/>
      <c r="F318" s="256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55"/>
      <c r="F319" s="256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55"/>
      <c r="F320" s="256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55"/>
      <c r="F321" s="256"/>
      <c r="G321" s="3"/>
    </row>
    <row r="322" spans="1:7" s="44" customFormat="1" x14ac:dyDescent="0.3">
      <c r="A322" s="187"/>
      <c r="B322" s="187"/>
      <c r="C322" s="188"/>
      <c r="D322" s="189"/>
      <c r="E322" s="255"/>
      <c r="F322" s="256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7"/>
      <c r="F325" s="258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49"/>
      <c r="F326" s="250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view="pageBreakPreview" zoomScale="98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3"/>
      <c r="F4" s="25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3"/>
      <c r="F16" s="254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5"/>
      <c r="F17" s="25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7"/>
      <c r="F23" s="258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3"/>
      <c r="F28" s="254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5"/>
      <c r="F29" s="25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7"/>
      <c r="F35" s="258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7"/>
      <c r="F47" s="258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7"/>
      <c r="F59" s="258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3"/>
      <c r="F64" s="254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5"/>
      <c r="F65" s="256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7"/>
      <c r="F71" s="258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3"/>
      <c r="F76" s="254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5"/>
      <c r="F77" s="25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7"/>
      <c r="F83" s="258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3"/>
      <c r="F88" s="254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5"/>
      <c r="F89" s="25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7"/>
      <c r="F95" s="258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3"/>
      <c r="F100" s="254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7"/>
      <c r="F107" s="258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3"/>
      <c r="F112" s="254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7"/>
      <c r="F119" s="258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3"/>
      <c r="F124" s="254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5"/>
      <c r="F125" s="25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5"/>
      <c r="F126" s="25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5"/>
      <c r="F127" s="25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5"/>
      <c r="F128" s="25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7"/>
      <c r="F131" s="258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3"/>
      <c r="F136" s="254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5"/>
      <c r="F137" s="256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5"/>
      <c r="F138" s="25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5"/>
      <c r="F139" s="25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5"/>
      <c r="F140" s="25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7"/>
      <c r="F143" s="258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3"/>
      <c r="F148" s="254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55"/>
      <c r="F149" s="25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55"/>
      <c r="F150" s="25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55"/>
      <c r="F151" s="25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55"/>
      <c r="F152" s="25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7"/>
      <c r="F155" s="258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3"/>
      <c r="F160" s="254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55"/>
      <c r="F161" s="25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55"/>
      <c r="F162" s="25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55"/>
      <c r="F163" s="25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7"/>
      <c r="F167" s="258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9"/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3"/>
      <c r="F172" s="254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55"/>
      <c r="F173" s="256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55"/>
      <c r="F174" s="25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5"/>
      <c r="F175" s="25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7"/>
      <c r="F179" s="258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175</v>
      </c>
      <c r="E180" s="259"/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3"/>
      <c r="F184" s="254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55"/>
      <c r="F185" s="25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5"/>
      <c r="F187" s="25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5"/>
      <c r="F188" s="25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7"/>
      <c r="F191" s="258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174</v>
      </c>
      <c r="E192" s="259"/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/>
      <c r="B196" s="42"/>
      <c r="C196" s="135" t="str">
        <f t="shared" ref="C196:C203" si="16" xml:space="preserve"> IF(B196="","",setValueToTime(B196))</f>
        <v/>
      </c>
      <c r="D196" s="43"/>
      <c r="E196" s="253"/>
      <c r="F196" s="254"/>
      <c r="G196" s="3"/>
    </row>
    <row r="197" spans="1:7" s="44" customFormat="1" x14ac:dyDescent="0.3">
      <c r="A197" s="45"/>
      <c r="B197" s="46"/>
      <c r="C197" s="136" t="str">
        <f t="shared" si="16"/>
        <v/>
      </c>
      <c r="D197" s="47"/>
      <c r="E197" s="255"/>
      <c r="F197" s="256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55"/>
      <c r="F198" s="25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7"/>
      <c r="F203" s="258"/>
      <c r="G203" s="3"/>
    </row>
    <row r="204" spans="1:7" s="44" customFormat="1" ht="15" thickBot="1" x14ac:dyDescent="0.35">
      <c r="A204" s="145" t="s">
        <v>28</v>
      </c>
      <c r="B204" s="68">
        <f>SUM(B196:B203)</f>
        <v>0</v>
      </c>
      <c r="C204" s="145" t="str">
        <f xml:space="preserve"> setValueToTime(B204)</f>
        <v>0h</v>
      </c>
      <c r="D204" s="200" t="s">
        <v>176</v>
      </c>
      <c r="E204" s="259"/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53"/>
      <c r="F208" s="254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55"/>
      <c r="F209" s="256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7"/>
      <c r="F215" s="258"/>
      <c r="G215" s="3"/>
    </row>
    <row r="216" spans="1:7" s="44" customFormat="1" ht="15" thickBot="1" x14ac:dyDescent="0.35">
      <c r="A216" s="145" t="s">
        <v>28</v>
      </c>
      <c r="B216" s="68">
        <f>SUM(B208:B215)</f>
        <v>0</v>
      </c>
      <c r="C216" s="145" t="str">
        <f xml:space="preserve"> setValueToTime(B216)</f>
        <v>0h</v>
      </c>
      <c r="D216" s="200" t="s">
        <v>176</v>
      </c>
      <c r="E216" s="259"/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ht="27" x14ac:dyDescent="0.3">
      <c r="A220" s="41" t="s">
        <v>16</v>
      </c>
      <c r="B220" s="42">
        <v>2</v>
      </c>
      <c r="C220" s="135" t="str">
        <f xml:space="preserve"> IF(B220="","",setValueToTime(B220))</f>
        <v>0h10min</v>
      </c>
      <c r="D220" s="214" t="s">
        <v>99</v>
      </c>
      <c r="E220" s="253"/>
      <c r="F220" s="254"/>
      <c r="G220" s="3"/>
    </row>
    <row r="221" spans="1:7" s="44" customFormat="1" ht="27" x14ac:dyDescent="0.3">
      <c r="A221" s="45" t="s">
        <v>89</v>
      </c>
      <c r="B221" s="46">
        <v>3</v>
      </c>
      <c r="C221" s="136" t="str">
        <f t="shared" ref="C221:C227" si="18" xml:space="preserve"> IF(B221="","",setValueToTime(B221))</f>
        <v>0h15min</v>
      </c>
      <c r="D221" s="202" t="s">
        <v>221</v>
      </c>
      <c r="E221" s="255"/>
      <c r="F221" s="256"/>
      <c r="G221" s="3"/>
    </row>
    <row r="222" spans="1:7" s="44" customFormat="1" ht="27" x14ac:dyDescent="0.3">
      <c r="A222" s="45" t="s">
        <v>85</v>
      </c>
      <c r="B222" s="46">
        <v>25</v>
      </c>
      <c r="C222" s="136" t="str">
        <f t="shared" si="18"/>
        <v>2h5min</v>
      </c>
      <c r="D222" s="202" t="s">
        <v>222</v>
      </c>
      <c r="E222" s="255"/>
      <c r="F222" s="25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7"/>
      <c r="F227" s="258"/>
      <c r="G227" s="3"/>
    </row>
    <row r="228" spans="1:7" s="44" customFormat="1" ht="15" thickBot="1" x14ac:dyDescent="0.35">
      <c r="A228" s="145" t="s">
        <v>28</v>
      </c>
      <c r="B228" s="68">
        <f>SUM(B220:B227)</f>
        <v>30</v>
      </c>
      <c r="C228" s="145" t="str">
        <f xml:space="preserve"> setValueToTime(B228)</f>
        <v>2h30min</v>
      </c>
      <c r="D228" s="200" t="s">
        <v>175</v>
      </c>
      <c r="E228" s="259"/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ht="27" x14ac:dyDescent="0.3">
      <c r="A232" s="41" t="s">
        <v>85</v>
      </c>
      <c r="B232" s="42">
        <v>49</v>
      </c>
      <c r="C232" s="135" t="str">
        <f xml:space="preserve"> IF(B232="","",setValueToTime(B232))</f>
        <v>4h5min</v>
      </c>
      <c r="D232" s="214" t="s">
        <v>219</v>
      </c>
      <c r="E232" s="253"/>
      <c r="F232" s="254"/>
      <c r="G232" s="3"/>
    </row>
    <row r="233" spans="1:7" s="44" customFormat="1" x14ac:dyDescent="0.3">
      <c r="A233" s="45" t="s">
        <v>15</v>
      </c>
      <c r="B233" s="46">
        <v>1</v>
      </c>
      <c r="C233" s="136" t="str">
        <f t="shared" ref="C233:C239" si="19" xml:space="preserve"> IF(B233="","",setValueToTime(B233))</f>
        <v>0h5min</v>
      </c>
      <c r="D233" s="202" t="s">
        <v>220</v>
      </c>
      <c r="E233" s="255"/>
      <c r="F233" s="256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7"/>
      <c r="F239" s="258"/>
      <c r="G239" s="3"/>
    </row>
    <row r="240" spans="1:7" s="44" customFormat="1" ht="15" thickBot="1" x14ac:dyDescent="0.35">
      <c r="A240" s="145" t="s">
        <v>28</v>
      </c>
      <c r="B240" s="68">
        <f>SUM(B232:B239)</f>
        <v>50</v>
      </c>
      <c r="C240" s="145" t="str">
        <f xml:space="preserve"> setValueToTime(B240)</f>
        <v>4h10min</v>
      </c>
      <c r="D240" s="200" t="s">
        <v>174</v>
      </c>
      <c r="E240" s="259"/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16</v>
      </c>
      <c r="B244" s="42">
        <v>2</v>
      </c>
      <c r="C244" s="135" t="str">
        <f xml:space="preserve"> IF(B244="","",setValueToTime(B244))</f>
        <v>0h10min</v>
      </c>
      <c r="D244" s="214" t="s">
        <v>212</v>
      </c>
      <c r="E244" s="253"/>
      <c r="F244" s="254"/>
      <c r="G244" s="3"/>
    </row>
    <row r="245" spans="1:7" s="44" customFormat="1" ht="27" x14ac:dyDescent="0.3">
      <c r="A245" s="45" t="s">
        <v>85</v>
      </c>
      <c r="B245" s="46">
        <v>13</v>
      </c>
      <c r="C245" s="136" t="str">
        <f xml:space="preserve"> IF(B245="","",setValueToTime(B245))</f>
        <v>1h5min</v>
      </c>
      <c r="D245" s="47" t="s">
        <v>211</v>
      </c>
      <c r="E245" s="255"/>
      <c r="F245" s="256"/>
      <c r="G245" s="3"/>
    </row>
    <row r="246" spans="1:7" s="44" customFormat="1" ht="27" x14ac:dyDescent="0.3">
      <c r="A246" s="45" t="s">
        <v>85</v>
      </c>
      <c r="B246" s="46">
        <v>19</v>
      </c>
      <c r="C246" s="136" t="str">
        <f t="shared" ref="C246" si="20" xml:space="preserve"> IF(B246="","",setValueToTime(B246))</f>
        <v>1h35min</v>
      </c>
      <c r="D246" s="202" t="s">
        <v>214</v>
      </c>
      <c r="E246" s="263" t="s">
        <v>213</v>
      </c>
      <c r="F246" s="256"/>
      <c r="G246" s="3"/>
    </row>
    <row r="247" spans="1:7" s="44" customFormat="1" x14ac:dyDescent="0.3">
      <c r="A247" s="45" t="s">
        <v>89</v>
      </c>
      <c r="B247" s="46">
        <v>3</v>
      </c>
      <c r="C247" s="136" t="str">
        <f t="shared" ref="C247:C251" si="21" xml:space="preserve"> IF(B247="","",setValueToTime(B247))</f>
        <v>0h15min</v>
      </c>
      <c r="D247" s="202" t="s">
        <v>215</v>
      </c>
      <c r="E247" s="255"/>
      <c r="F247" s="256"/>
      <c r="G247" s="3"/>
    </row>
    <row r="248" spans="1:7" s="44" customFormat="1" x14ac:dyDescent="0.3">
      <c r="A248" s="46" t="s">
        <v>15</v>
      </c>
      <c r="B248" s="46">
        <v>2</v>
      </c>
      <c r="C248" s="137" t="str">
        <f t="shared" si="21"/>
        <v>0h10min</v>
      </c>
      <c r="D248" s="202" t="s">
        <v>208</v>
      </c>
      <c r="E248" s="255"/>
      <c r="F248" s="256"/>
      <c r="G248" s="3"/>
    </row>
    <row r="249" spans="1:7" s="44" customFormat="1" x14ac:dyDescent="0.3">
      <c r="A249" s="46" t="s">
        <v>89</v>
      </c>
      <c r="B249" s="46">
        <v>1</v>
      </c>
      <c r="C249" s="137" t="str">
        <f t="shared" si="21"/>
        <v>0h5min</v>
      </c>
      <c r="D249" s="202" t="s">
        <v>216</v>
      </c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21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21"/>
        <v/>
      </c>
      <c r="D251" s="49"/>
      <c r="E251" s="257"/>
      <c r="F251" s="258"/>
      <c r="G251" s="3"/>
    </row>
    <row r="252" spans="1:7" s="44" customFormat="1" ht="15" thickBot="1" x14ac:dyDescent="0.35">
      <c r="A252" s="145" t="s">
        <v>28</v>
      </c>
      <c r="B252" s="68">
        <f>SUM(B244:B251)</f>
        <v>40</v>
      </c>
      <c r="C252" s="145" t="str">
        <f xml:space="preserve"> setValueToTime(B252)</f>
        <v>3h20min</v>
      </c>
      <c r="D252" s="200" t="s">
        <v>176</v>
      </c>
      <c r="E252" s="259"/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1</v>
      </c>
      <c r="C256" s="135" t="str">
        <f xml:space="preserve"> IF(B256="","",setValueToTime(B256))</f>
        <v>0h5min</v>
      </c>
      <c r="D256" s="214" t="s">
        <v>208</v>
      </c>
      <c r="E256" s="253"/>
      <c r="F256" s="254"/>
      <c r="G256" s="3"/>
    </row>
    <row r="257" spans="1:7" s="44" customFormat="1" ht="27" x14ac:dyDescent="0.3">
      <c r="A257" s="45" t="s">
        <v>84</v>
      </c>
      <c r="B257" s="46">
        <v>4</v>
      </c>
      <c r="C257" s="136" t="str">
        <f t="shared" ref="C257:C263" si="22" xml:space="preserve"> IF(B257="","",setValueToTime(B257))</f>
        <v>0h20min</v>
      </c>
      <c r="D257" s="202" t="s">
        <v>209</v>
      </c>
      <c r="E257" s="255"/>
      <c r="F257" s="256"/>
      <c r="G257" s="3"/>
    </row>
    <row r="258" spans="1:7" s="44" customFormat="1" ht="27" x14ac:dyDescent="0.3">
      <c r="A258" s="45" t="s">
        <v>85</v>
      </c>
      <c r="B258" s="46">
        <v>45</v>
      </c>
      <c r="C258" s="136" t="str">
        <f t="shared" si="22"/>
        <v>3h45min</v>
      </c>
      <c r="D258" s="202" t="s">
        <v>210</v>
      </c>
      <c r="E258" s="255"/>
      <c r="F258" s="256"/>
      <c r="G258" s="3"/>
    </row>
    <row r="259" spans="1:7" s="44" customFormat="1" x14ac:dyDescent="0.3">
      <c r="A259" s="45"/>
      <c r="B259" s="46"/>
      <c r="C259" s="136" t="str">
        <f t="shared" si="22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22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22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7"/>
      <c r="F263" s="258"/>
      <c r="G263" s="3"/>
    </row>
    <row r="264" spans="1:7" s="44" customFormat="1" ht="15" thickBot="1" x14ac:dyDescent="0.35">
      <c r="A264" s="145" t="s">
        <v>28</v>
      </c>
      <c r="B264" s="68">
        <f>SUM(B256:B263)</f>
        <v>50</v>
      </c>
      <c r="C264" s="145" t="str">
        <f xml:space="preserve"> setValueToTime(B264)</f>
        <v>4h10min</v>
      </c>
      <c r="D264" s="200" t="s">
        <v>174</v>
      </c>
      <c r="E264" s="259"/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14" t="s">
        <v>200</v>
      </c>
      <c r="E268" s="264" t="s">
        <v>199</v>
      </c>
      <c r="F268" s="254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3" xml:space="preserve"> IF(B269="","",setValueToTime(B269))</f>
        <v>0h30min</v>
      </c>
      <c r="D269" s="202" t="s">
        <v>201</v>
      </c>
      <c r="E269" s="255"/>
      <c r="F269" s="256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3"/>
        <v>0h15min</v>
      </c>
      <c r="D270" s="202" t="s">
        <v>202</v>
      </c>
      <c r="E270" s="255"/>
      <c r="F270" s="256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3"/>
        <v>0h15min</v>
      </c>
      <c r="D271" s="202" t="s">
        <v>203</v>
      </c>
      <c r="E271" s="263" t="s">
        <v>204</v>
      </c>
      <c r="F271" s="256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3"/>
        <v>0h20min</v>
      </c>
      <c r="D272" s="202" t="s">
        <v>205</v>
      </c>
      <c r="E272" s="255"/>
      <c r="F272" s="256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3"/>
        <v>0h25min</v>
      </c>
      <c r="D273" s="202" t="s">
        <v>206</v>
      </c>
      <c r="E273" s="255"/>
      <c r="F273" s="256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3"/>
        <v>0h30min</v>
      </c>
      <c r="D274" s="202" t="s">
        <v>207</v>
      </c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7"/>
      <c r="F275" s="258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3"/>
      <c r="F280" s="254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4" xml:space="preserve"> IF(B281="","",setValueToTime(B281))</f>
        <v>1h5min</v>
      </c>
      <c r="D281" s="47" t="s">
        <v>193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4"/>
        <v>0h15min</v>
      </c>
      <c r="D282" s="47" t="s">
        <v>192</v>
      </c>
      <c r="E282" s="255"/>
      <c r="F282" s="256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4"/>
        <v>0h5min</v>
      </c>
      <c r="D283" s="47" t="s">
        <v>195</v>
      </c>
      <c r="E283" s="263" t="s">
        <v>194</v>
      </c>
      <c r="F283" s="256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4"/>
        <v>0h5min</v>
      </c>
      <c r="D284" s="47" t="s">
        <v>197</v>
      </c>
      <c r="E284" s="263" t="s">
        <v>196</v>
      </c>
      <c r="F284" s="256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4"/>
        <v>1h20min</v>
      </c>
      <c r="D285" s="47" t="s">
        <v>198</v>
      </c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si="24"/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7"/>
      <c r="F287" s="258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9"/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3"/>
      <c r="F292" s="254"/>
      <c r="G292" s="3"/>
    </row>
    <row r="293" spans="1:7" s="44" customFormat="1" x14ac:dyDescent="0.3">
      <c r="A293" s="45"/>
      <c r="B293" s="46"/>
      <c r="C293" s="136" t="str">
        <f t="shared" ref="C293:C299" si="25" xml:space="preserve"> IF(B293="","",setValueToTime(B293))</f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6" t="str">
        <f t="shared" si="25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6" t="str">
        <f t="shared" si="25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25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25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7"/>
      <c r="F299" s="258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9"/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3"/>
      <c r="F304" s="254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6" xml:space="preserve"> IF(B305="","",setValueToTime(B305))</f>
        <v>0h10min</v>
      </c>
      <c r="D305" s="199" t="s">
        <v>160</v>
      </c>
      <c r="E305" s="263" t="s">
        <v>161</v>
      </c>
      <c r="F305" s="256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6"/>
        <v>1h</v>
      </c>
      <c r="D306" s="199" t="s">
        <v>163</v>
      </c>
      <c r="E306" s="263" t="s">
        <v>164</v>
      </c>
      <c r="F306" s="256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6"/>
        <v>0h20min</v>
      </c>
      <c r="D307" s="202" t="s">
        <v>181</v>
      </c>
      <c r="E307" s="255"/>
      <c r="F307" s="256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6"/>
        <v>0h40min</v>
      </c>
      <c r="D308" s="202" t="s">
        <v>182</v>
      </c>
      <c r="E308" s="265" t="s">
        <v>183</v>
      </c>
      <c r="F308" s="256"/>
      <c r="G308" s="3"/>
    </row>
    <row r="309" spans="1:7" s="44" customFormat="1" x14ac:dyDescent="0.3">
      <c r="A309" s="45"/>
      <c r="B309" s="46"/>
      <c r="C309" s="136" t="str">
        <f t="shared" si="2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6" t="str">
        <f t="shared" si="26"/>
        <v/>
      </c>
      <c r="D310" s="47"/>
      <c r="E310" s="255"/>
      <c r="F310" s="256"/>
      <c r="G310" s="3"/>
    </row>
    <row r="311" spans="1:7" s="44" customFormat="1" x14ac:dyDescent="0.3">
      <c r="A311" s="46"/>
      <c r="B311" s="46"/>
      <c r="C311" s="136" t="str">
        <f t="shared" si="26"/>
        <v/>
      </c>
      <c r="D311" s="47"/>
      <c r="E311" s="255"/>
      <c r="F311" s="256"/>
      <c r="G311" s="3"/>
    </row>
    <row r="312" spans="1:7" s="44" customFormat="1" x14ac:dyDescent="0.3">
      <c r="A312" s="46"/>
      <c r="B312" s="46"/>
      <c r="C312" s="136" t="str">
        <f t="shared" si="26"/>
        <v/>
      </c>
      <c r="D312" s="47"/>
      <c r="E312" s="255"/>
      <c r="F312" s="256"/>
      <c r="G312" s="3"/>
    </row>
    <row r="313" spans="1:7" s="44" customFormat="1" ht="15" thickBot="1" x14ac:dyDescent="0.35">
      <c r="A313" s="48"/>
      <c r="B313" s="48"/>
      <c r="C313" s="138" t="str">
        <f t="shared" ref="C313" si="27" xml:space="preserve"> IF(B313="","",setValueToTime(B313))</f>
        <v/>
      </c>
      <c r="D313" s="49"/>
      <c r="E313" s="257"/>
      <c r="F313" s="258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9"/>
      <c r="F314" s="260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1" t="s">
        <v>13</v>
      </c>
      <c r="F317" s="262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3"/>
      <c r="F318" s="254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8" xml:space="preserve"> IF(B319="","",setValueToTime(B319))</f>
        <v>2h5min</v>
      </c>
      <c r="D319" s="47" t="s">
        <v>148</v>
      </c>
      <c r="E319" s="255"/>
      <c r="F319" s="256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8"/>
        <v>0h5min</v>
      </c>
      <c r="D320" s="47" t="s">
        <v>149</v>
      </c>
      <c r="E320" s="255"/>
      <c r="F320" s="256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8"/>
        <v>0h20min</v>
      </c>
      <c r="D321" s="47" t="s">
        <v>150</v>
      </c>
      <c r="E321" s="255" t="s">
        <v>162</v>
      </c>
      <c r="F321" s="256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8"/>
        <v>0h20min</v>
      </c>
      <c r="D322" s="47" t="s">
        <v>153</v>
      </c>
      <c r="E322" s="255" t="s">
        <v>157</v>
      </c>
      <c r="F322" s="256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8"/>
        <v>0h20min</v>
      </c>
      <c r="D323" s="47" t="s">
        <v>154</v>
      </c>
      <c r="E323" s="255"/>
      <c r="F323" s="256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8"/>
        <v>0h20min</v>
      </c>
      <c r="D324" s="47" t="s">
        <v>159</v>
      </c>
      <c r="E324" s="255" t="s">
        <v>158</v>
      </c>
      <c r="F324" s="256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8"/>
        <v/>
      </c>
      <c r="D327" s="49"/>
      <c r="E327" s="257"/>
      <c r="F327" s="258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9"/>
      <c r="F328" s="260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4:B11 B232:B239 B220:B227 B208:B215 B196:B203 B184:B191 B172:B179 B160:B167 B148:B155 B136:B143 B124:B131 B112:B119 B100:B107 B88:B95 B76:B83 B64:B71 B52:B59 B40:B47 B28:B35 B16:B23 B244:B25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4:A11 A232:A239 A220:A227 A208:A215 A196:A203 A184:A191 A172:A179 A160:A167 A148:A155 A136:A143 A124:A131 A112:A119 A100:A107 A88:A95 A76:A83 A64:A71 A52:A59 A40:A47 A28:A35 A16:A23 A244:A25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  <hyperlink ref="E246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1" t="s">
        <v>13</v>
      </c>
      <c r="F2" s="25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49"/>
      <c r="F11" s="25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2024-05-06T13:42:49Z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